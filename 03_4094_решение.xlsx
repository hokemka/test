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Аренда" sheetId="1" state="visible" r:id="rId1"/>
    <sheet xmlns:r="http://schemas.openxmlformats.org/officeDocument/2006/relationships" name="Автомобили" sheetId="2" state="visible" r:id="rId2"/>
    <sheet xmlns:r="http://schemas.openxmlformats.org/officeDocument/2006/relationships" name="Клиенты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dd/mm/yy\ h:mm;@"/>
    <numFmt numFmtId="166" formatCode="dd/mm/yy;@"/>
  </numFmts>
  <fonts count="6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indexed="8"/>
      <sz val="14"/>
    </font>
    <font>
      <name val="Calibri"/>
      <charset val="204"/>
      <family val="2"/>
      <color indexed="8"/>
      <sz val="14"/>
    </font>
    <font>
      <name val="Times New Roman"/>
      <charset val="204"/>
      <family val="1"/>
      <color indexed="8"/>
      <sz val="12"/>
    </font>
    <font>
      <name val="Times New Roman"/>
      <charset val="204"/>
      <family val="1"/>
      <color indexed="8"/>
      <sz val="12"/>
    </font>
    <font>
      <name val="Arial"/>
      <charset val="204"/>
      <family val="2"/>
      <color indexed="63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3" fillId="0" borderId="0" pivotButton="0" quotePrefix="0" xfId="0"/>
    <xf numFmtId="166" fontId="4" fillId="0" borderId="1" applyAlignment="1" pivotButton="0" quotePrefix="0" xfId="0">
      <alignment horizontal="center" wrapText="1"/>
    </xf>
    <xf numFmtId="166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3" fillId="0" borderId="2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5"/>
  <sheetViews>
    <sheetView workbookViewId="0">
      <selection activeCell="D498" sqref="D498"/>
    </sheetView>
  </sheetViews>
  <sheetFormatPr baseColWidth="8" defaultRowHeight="15.75"/>
  <cols>
    <col width="16.140625" customWidth="1" style="6" min="1" max="1"/>
    <col width="20.42578125" customWidth="1" style="13" min="2" max="2"/>
    <col width="13.140625" customWidth="1" style="11" min="3" max="3"/>
    <col width="14.7109375" customWidth="1" style="6" min="4" max="4"/>
    <col width="14.5703125" customWidth="1" style="6" min="5" max="5"/>
    <col width="17.5703125" customWidth="1" style="5" min="6" max="6"/>
    <col width="20.140625" customWidth="1" min="7" max="7"/>
  </cols>
  <sheetData>
    <row r="1" ht="32.25" customHeight="1" thickBot="1">
      <c r="A1" s="9" t="inlineStr">
        <is>
          <t>ID операции</t>
        </is>
      </c>
      <c r="B1" s="12" t="inlineStr">
        <is>
          <t>Дата аренды</t>
        </is>
      </c>
      <c r="C1" s="10" t="inlineStr">
        <is>
          <t>ID автомобиля</t>
        </is>
      </c>
      <c r="D1" s="10" t="inlineStr">
        <is>
          <t>ID клиента</t>
        </is>
      </c>
      <c r="E1" s="17" t="inlineStr">
        <is>
          <t>Сумма аренды, руб.</t>
        </is>
      </c>
      <c r="F1" s="10" t="inlineStr">
        <is>
          <t>Претензии</t>
        </is>
      </c>
    </row>
    <row r="2">
      <c r="A2" s="6" t="n">
        <v>1</v>
      </c>
      <c r="B2" s="13" t="n">
        <v>43831</v>
      </c>
      <c r="C2" s="6" t="inlineStr">
        <is>
          <t>A54</t>
        </is>
      </c>
      <c r="D2" s="6" t="n">
        <v>14</v>
      </c>
      <c r="E2" s="15" t="n">
        <v>142</v>
      </c>
      <c r="F2" s="5" t="inlineStr">
        <is>
          <t>нет</t>
        </is>
      </c>
      <c r="G2" s="7" t="n"/>
      <c r="H2">
        <f>VLOOKUP(C2,Автомобили!$A$2:$G$1000,3,0)</f>
        <v/>
      </c>
      <c r="I2">
        <f>VLOOKUP(D2,Клиенты!$A$2:$D$1000,2,0)</f>
        <v/>
      </c>
      <c r="J2">
        <f>IF(AND(H2="Kaptur",I2="Окраинов Л.Г.",YEAR(B2)=2020),E2,0)</f>
        <v/>
      </c>
      <c r="L2">
        <f>SUM(J2:J1465)</f>
        <v/>
      </c>
    </row>
    <row r="3">
      <c r="A3" s="6" t="n">
        <v>2</v>
      </c>
      <c r="B3" s="13" t="n">
        <v>43831</v>
      </c>
      <c r="C3" s="6" t="inlineStr">
        <is>
          <t>A23</t>
        </is>
      </c>
      <c r="D3" s="6" t="n">
        <v>5</v>
      </c>
      <c r="E3" s="15" t="n">
        <v>259</v>
      </c>
      <c r="F3" s="5" t="inlineStr">
        <is>
          <t>нет</t>
        </is>
      </c>
      <c r="H3">
        <f>VLOOKUP(C3,Автомобили!$A$2:$G$1000,3,0)</f>
        <v/>
      </c>
      <c r="I3">
        <f>VLOOKUP(D3,Клиенты!$A$2:$D$1000,2,0)</f>
        <v/>
      </c>
      <c r="J3">
        <f>IF(AND(H3="Kaptur",I3="Окраинов Л.Г.",YEAR(B3)=2020),E3,0)</f>
        <v/>
      </c>
    </row>
    <row r="4">
      <c r="A4" s="6" t="n">
        <v>3</v>
      </c>
      <c r="B4" s="13" t="n">
        <v>43831</v>
      </c>
      <c r="C4" s="6" t="inlineStr">
        <is>
          <t>A43</t>
        </is>
      </c>
      <c r="D4" s="6" t="n">
        <v>7</v>
      </c>
      <c r="E4" s="15" t="n">
        <v>188</v>
      </c>
      <c r="F4" s="5" t="inlineStr">
        <is>
          <t>нет</t>
        </is>
      </c>
      <c r="H4">
        <f>VLOOKUP(C4,Автомобили!$A$2:$G$1000,3,0)</f>
        <v/>
      </c>
      <c r="I4">
        <f>VLOOKUP(D4,Клиенты!$A$2:$D$1000,2,0)</f>
        <v/>
      </c>
      <c r="J4">
        <f>IF(AND(H4="Kaptur",I4="Окраинов Л.Г.",YEAR(B4)=2020),E4,0)</f>
        <v/>
      </c>
    </row>
    <row r="5">
      <c r="A5" s="6" t="n">
        <v>4</v>
      </c>
      <c r="B5" s="13" t="n">
        <v>43831</v>
      </c>
      <c r="C5" s="6" t="inlineStr">
        <is>
          <t>A42</t>
        </is>
      </c>
      <c r="D5" s="6" t="n">
        <v>6</v>
      </c>
      <c r="E5" s="15" t="n">
        <v>390</v>
      </c>
      <c r="F5" s="5" t="inlineStr">
        <is>
          <t>нет</t>
        </is>
      </c>
      <c r="H5">
        <f>VLOOKUP(C5,Автомобили!$A$2:$G$1000,3,0)</f>
        <v/>
      </c>
      <c r="I5">
        <f>VLOOKUP(D5,Клиенты!$A$2:$D$1000,2,0)</f>
        <v/>
      </c>
      <c r="J5">
        <f>IF(AND(H5="Kaptur",I5="Окраинов Л.Г.",YEAR(B5)=2020),E5,0)</f>
        <v/>
      </c>
    </row>
    <row r="6">
      <c r="A6" s="6" t="n">
        <v>5</v>
      </c>
      <c r="B6" s="13" t="n">
        <v>43832</v>
      </c>
      <c r="C6" s="6" t="inlineStr">
        <is>
          <t>A36</t>
        </is>
      </c>
      <c r="D6" s="6" t="n">
        <v>6</v>
      </c>
      <c r="E6" s="15" t="n">
        <v>307</v>
      </c>
      <c r="F6" s="5" t="inlineStr">
        <is>
          <t>нет</t>
        </is>
      </c>
      <c r="H6">
        <f>VLOOKUP(C6,Автомобили!$A$2:$G$1000,3,0)</f>
        <v/>
      </c>
      <c r="I6">
        <f>VLOOKUP(D6,Клиенты!$A$2:$D$1000,2,0)</f>
        <v/>
      </c>
      <c r="J6">
        <f>IF(AND(H6="Kaptur",I6="Окраинов Л.Г.",YEAR(B6)=2020),E6,0)</f>
        <v/>
      </c>
    </row>
    <row r="7">
      <c r="A7" s="6" t="n">
        <v>6</v>
      </c>
      <c r="B7" s="13" t="n">
        <v>43832</v>
      </c>
      <c r="C7" s="6" t="inlineStr">
        <is>
          <t>A44</t>
        </is>
      </c>
      <c r="D7" s="6" t="n">
        <v>4</v>
      </c>
      <c r="E7" s="15" t="n">
        <v>96</v>
      </c>
      <c r="F7" s="5" t="inlineStr">
        <is>
          <t>нет</t>
        </is>
      </c>
      <c r="H7">
        <f>VLOOKUP(C7,Автомобили!$A$2:$G$1000,3,0)</f>
        <v/>
      </c>
      <c r="I7">
        <f>VLOOKUP(D7,Клиенты!$A$2:$D$1000,2,0)</f>
        <v/>
      </c>
      <c r="J7">
        <f>IF(AND(H7="Kaptur",I7="Окраинов Л.Г.",YEAR(B7)=2020),E7,0)</f>
        <v/>
      </c>
    </row>
    <row r="8">
      <c r="A8" s="6" t="n">
        <v>7</v>
      </c>
      <c r="B8" s="13" t="n">
        <v>43832</v>
      </c>
      <c r="C8" s="6" t="inlineStr">
        <is>
          <t>A48</t>
        </is>
      </c>
      <c r="D8" s="6" t="n">
        <v>3</v>
      </c>
      <c r="E8" s="15" t="n">
        <v>189</v>
      </c>
      <c r="F8" s="5" t="inlineStr">
        <is>
          <t>нет</t>
        </is>
      </c>
      <c r="H8">
        <f>VLOOKUP(C8,Автомобили!$A$2:$G$1000,3,0)</f>
        <v/>
      </c>
      <c r="I8">
        <f>VLOOKUP(D8,Клиенты!$A$2:$D$1000,2,0)</f>
        <v/>
      </c>
      <c r="J8">
        <f>IF(AND(H8="Kaptur",I8="Окраинов Л.Г.",YEAR(B8)=2020),E8,0)</f>
        <v/>
      </c>
    </row>
    <row r="9">
      <c r="A9" s="6" t="n">
        <v>8</v>
      </c>
      <c r="B9" s="13" t="n">
        <v>43832</v>
      </c>
      <c r="C9" s="6" t="inlineStr">
        <is>
          <t>A35</t>
        </is>
      </c>
      <c r="D9" s="6" t="n">
        <v>15</v>
      </c>
      <c r="E9" s="15" t="n">
        <v>242</v>
      </c>
      <c r="F9" s="5" t="inlineStr">
        <is>
          <t>нет</t>
        </is>
      </c>
      <c r="H9">
        <f>VLOOKUP(C9,Автомобили!$A$2:$G$1000,3,0)</f>
        <v/>
      </c>
      <c r="I9">
        <f>VLOOKUP(D9,Клиенты!$A$2:$D$1000,2,0)</f>
        <v/>
      </c>
      <c r="J9">
        <f>IF(AND(H9="Kaptur",I9="Окраинов Л.Г.",YEAR(B9)=2020),E9,0)</f>
        <v/>
      </c>
    </row>
    <row r="10">
      <c r="A10" s="6" t="n">
        <v>9</v>
      </c>
      <c r="B10" s="13" t="n">
        <v>43833</v>
      </c>
      <c r="C10" s="6" t="inlineStr">
        <is>
          <t>A62</t>
        </is>
      </c>
      <c r="D10" s="6" t="n">
        <v>9</v>
      </c>
      <c r="E10" s="15" t="n">
        <v>210</v>
      </c>
      <c r="F10" s="5" t="inlineStr">
        <is>
          <t>нет</t>
        </is>
      </c>
      <c r="H10">
        <f>VLOOKUP(C10,Автомобили!$A$2:$G$1000,3,0)</f>
        <v/>
      </c>
      <c r="I10">
        <f>VLOOKUP(D10,Клиенты!$A$2:$D$1000,2,0)</f>
        <v/>
      </c>
      <c r="J10">
        <f>IF(AND(H10="Kaptur",I10="Окраинов Л.Г.",YEAR(B10)=2020),E10,0)</f>
        <v/>
      </c>
    </row>
    <row r="11">
      <c r="A11" s="6" t="n">
        <v>10</v>
      </c>
      <c r="B11" s="13" t="n">
        <v>43833</v>
      </c>
      <c r="C11" s="6" t="inlineStr">
        <is>
          <t>A50</t>
        </is>
      </c>
      <c r="D11" s="6" t="n">
        <v>7</v>
      </c>
      <c r="E11" s="15" t="n">
        <v>107</v>
      </c>
      <c r="F11" s="5" t="inlineStr">
        <is>
          <t>нет</t>
        </is>
      </c>
      <c r="H11">
        <f>VLOOKUP(C11,Автомобили!$A$2:$G$1000,3,0)</f>
        <v/>
      </c>
      <c r="I11">
        <f>VLOOKUP(D11,Клиенты!$A$2:$D$1000,2,0)</f>
        <v/>
      </c>
      <c r="J11">
        <f>IF(AND(H11="Kaptur",I11="Окраинов Л.Г.",YEAR(B11)=2020),E11,0)</f>
        <v/>
      </c>
    </row>
    <row r="12">
      <c r="A12" s="6" t="n">
        <v>11</v>
      </c>
      <c r="B12" s="13" t="n">
        <v>43833</v>
      </c>
      <c r="C12" s="6" t="inlineStr">
        <is>
          <t>A48</t>
        </is>
      </c>
      <c r="D12" s="6" t="n">
        <v>3</v>
      </c>
      <c r="E12" s="15" t="n">
        <v>375</v>
      </c>
      <c r="F12" s="5" t="inlineStr">
        <is>
          <t>нет</t>
        </is>
      </c>
      <c r="H12">
        <f>VLOOKUP(C12,Автомобили!$A$2:$G$1000,3,0)</f>
        <v/>
      </c>
      <c r="I12">
        <f>VLOOKUP(D12,Клиенты!$A$2:$D$1000,2,0)</f>
        <v/>
      </c>
      <c r="J12">
        <f>IF(AND(H12="Kaptur",I12="Окраинов Л.Г.",YEAR(B12)=2020),E12,0)</f>
        <v/>
      </c>
    </row>
    <row r="13">
      <c r="A13" s="6" t="n">
        <v>12</v>
      </c>
      <c r="B13" s="13" t="n">
        <v>43833</v>
      </c>
      <c r="C13" s="6" t="inlineStr">
        <is>
          <t>A45</t>
        </is>
      </c>
      <c r="D13" s="6" t="n">
        <v>11</v>
      </c>
      <c r="E13" s="15" t="n">
        <v>210</v>
      </c>
      <c r="F13" s="5" t="inlineStr">
        <is>
          <t>нет</t>
        </is>
      </c>
      <c r="H13">
        <f>VLOOKUP(C13,Автомобили!$A$2:$G$1000,3,0)</f>
        <v/>
      </c>
      <c r="I13">
        <f>VLOOKUP(D13,Клиенты!$A$2:$D$1000,2,0)</f>
        <v/>
      </c>
      <c r="J13">
        <f>IF(AND(H13="Kaptur",I13="Окраинов Л.Г.",YEAR(B13)=2020),E13,0)</f>
        <v/>
      </c>
    </row>
    <row r="14">
      <c r="A14" s="6" t="n">
        <v>13</v>
      </c>
      <c r="B14" s="13" t="n">
        <v>43834</v>
      </c>
      <c r="C14" s="6" t="inlineStr">
        <is>
          <t>A37</t>
        </is>
      </c>
      <c r="D14" s="6" t="n">
        <v>6</v>
      </c>
      <c r="E14" s="15" t="n">
        <v>258</v>
      </c>
      <c r="F14" s="5" t="inlineStr">
        <is>
          <t>нет</t>
        </is>
      </c>
      <c r="H14">
        <f>VLOOKUP(C14,Автомобили!$A$2:$G$1000,3,0)</f>
        <v/>
      </c>
      <c r="I14">
        <f>VLOOKUP(D14,Клиенты!$A$2:$D$1000,2,0)</f>
        <v/>
      </c>
      <c r="J14">
        <f>IF(AND(H14="Kaptur",I14="Окраинов Л.Г.",YEAR(B14)=2020),E14,0)</f>
        <v/>
      </c>
    </row>
    <row r="15">
      <c r="A15" s="6" t="n">
        <v>14</v>
      </c>
      <c r="B15" s="13" t="n">
        <v>43834</v>
      </c>
      <c r="C15" s="6" t="inlineStr">
        <is>
          <t>A50</t>
        </is>
      </c>
      <c r="D15" s="6" t="n">
        <v>3</v>
      </c>
      <c r="E15" s="15" t="n">
        <v>194</v>
      </c>
      <c r="F15" s="5" t="inlineStr">
        <is>
          <t>нет</t>
        </is>
      </c>
      <c r="H15">
        <f>VLOOKUP(C15,Автомобили!$A$2:$G$1000,3,0)</f>
        <v/>
      </c>
      <c r="I15">
        <f>VLOOKUP(D15,Клиенты!$A$2:$D$1000,2,0)</f>
        <v/>
      </c>
      <c r="J15">
        <f>IF(AND(H15="Kaptur",I15="Окраинов Л.Г.",YEAR(B15)=2020),E15,0)</f>
        <v/>
      </c>
    </row>
    <row r="16">
      <c r="A16" s="6" t="n">
        <v>15</v>
      </c>
      <c r="B16" s="13" t="n">
        <v>43834</v>
      </c>
      <c r="C16" s="6" t="inlineStr">
        <is>
          <t>A55</t>
        </is>
      </c>
      <c r="D16" s="6" t="n">
        <v>10</v>
      </c>
      <c r="E16" s="15" t="n">
        <v>202</v>
      </c>
      <c r="F16" s="5" t="inlineStr">
        <is>
          <t>нет</t>
        </is>
      </c>
      <c r="H16">
        <f>VLOOKUP(C16,Автомобили!$A$2:$G$1000,3,0)</f>
        <v/>
      </c>
      <c r="I16">
        <f>VLOOKUP(D16,Клиенты!$A$2:$D$1000,2,0)</f>
        <v/>
      </c>
      <c r="J16">
        <f>IF(AND(H16="Kaptur",I16="Окраинов Л.Г.",YEAR(B16)=2020),E16,0)</f>
        <v/>
      </c>
    </row>
    <row r="17">
      <c r="A17" s="6" t="n">
        <v>16</v>
      </c>
      <c r="B17" s="13" t="n">
        <v>43834</v>
      </c>
      <c r="C17" s="6" t="inlineStr">
        <is>
          <t>A43</t>
        </is>
      </c>
      <c r="D17" s="6" t="n">
        <v>5</v>
      </c>
      <c r="E17" s="15" t="n">
        <v>300</v>
      </c>
      <c r="F17" s="5" t="inlineStr">
        <is>
          <t>нет</t>
        </is>
      </c>
      <c r="H17">
        <f>VLOOKUP(C17,Автомобили!$A$2:$G$1000,3,0)</f>
        <v/>
      </c>
      <c r="I17">
        <f>VLOOKUP(D17,Клиенты!$A$2:$D$1000,2,0)</f>
        <v/>
      </c>
      <c r="J17">
        <f>IF(AND(H17="Kaptur",I17="Окраинов Л.Г.",YEAR(B17)=2020),E17,0)</f>
        <v/>
      </c>
    </row>
    <row r="18">
      <c r="A18" s="6" t="n">
        <v>17</v>
      </c>
      <c r="B18" s="13" t="n">
        <v>43835</v>
      </c>
      <c r="C18" s="6" t="inlineStr">
        <is>
          <t>A37</t>
        </is>
      </c>
      <c r="D18" s="6" t="n">
        <v>15</v>
      </c>
      <c r="E18" s="15" t="n">
        <v>73</v>
      </c>
      <c r="F18" s="5" t="inlineStr">
        <is>
          <t>нет</t>
        </is>
      </c>
      <c r="H18">
        <f>VLOOKUP(C18,Автомобили!$A$2:$G$1000,3,0)</f>
        <v/>
      </c>
      <c r="I18">
        <f>VLOOKUP(D18,Клиенты!$A$2:$D$1000,2,0)</f>
        <v/>
      </c>
      <c r="J18">
        <f>IF(AND(H18="Kaptur",I18="Окраинов Л.Г.",YEAR(B18)=2020),E18,0)</f>
        <v/>
      </c>
    </row>
    <row r="19">
      <c r="A19" s="6" t="n">
        <v>18</v>
      </c>
      <c r="B19" s="13" t="n">
        <v>43835</v>
      </c>
      <c r="C19" s="6" t="inlineStr">
        <is>
          <t>A11</t>
        </is>
      </c>
      <c r="D19" s="6" t="n">
        <v>9</v>
      </c>
      <c r="E19" s="15" t="n">
        <v>207</v>
      </c>
      <c r="F19" s="5" t="inlineStr">
        <is>
          <t>к компании</t>
        </is>
      </c>
      <c r="H19">
        <f>VLOOKUP(C19,Автомобили!$A$2:$G$1000,3,0)</f>
        <v/>
      </c>
      <c r="I19">
        <f>VLOOKUP(D19,Клиенты!$A$2:$D$1000,2,0)</f>
        <v/>
      </c>
      <c r="J19">
        <f>IF(AND(H19="Kaptur",I19="Окраинов Л.Г.",YEAR(B19)=2020),E19,0)</f>
        <v/>
      </c>
    </row>
    <row r="20">
      <c r="A20" s="6" t="n">
        <v>19</v>
      </c>
      <c r="B20" s="13" t="n">
        <v>43835</v>
      </c>
      <c r="C20" s="6" t="inlineStr">
        <is>
          <t>A11</t>
        </is>
      </c>
      <c r="D20" s="6" t="n">
        <v>10</v>
      </c>
      <c r="E20" s="15" t="n">
        <v>175</v>
      </c>
      <c r="F20" s="5" t="inlineStr">
        <is>
          <t>нет</t>
        </is>
      </c>
      <c r="H20">
        <f>VLOOKUP(C20,Автомобили!$A$2:$G$1000,3,0)</f>
        <v/>
      </c>
      <c r="I20">
        <f>VLOOKUP(D20,Клиенты!$A$2:$D$1000,2,0)</f>
        <v/>
      </c>
      <c r="J20">
        <f>IF(AND(H20="Kaptur",I20="Окраинов Л.Г.",YEAR(B20)=2020),E20,0)</f>
        <v/>
      </c>
    </row>
    <row r="21">
      <c r="A21" s="6" t="n">
        <v>20</v>
      </c>
      <c r="B21" s="13" t="n">
        <v>43835</v>
      </c>
      <c r="C21" s="6" t="inlineStr">
        <is>
          <t>A6</t>
        </is>
      </c>
      <c r="D21" s="6" t="n">
        <v>8</v>
      </c>
      <c r="E21" s="15" t="n">
        <v>211</v>
      </c>
      <c r="F21" s="5" t="inlineStr">
        <is>
          <t>нет</t>
        </is>
      </c>
      <c r="H21">
        <f>VLOOKUP(C21,Автомобили!$A$2:$G$1000,3,0)</f>
        <v/>
      </c>
      <c r="I21">
        <f>VLOOKUP(D21,Клиенты!$A$2:$D$1000,2,0)</f>
        <v/>
      </c>
      <c r="J21">
        <f>IF(AND(H21="Kaptur",I21="Окраинов Л.Г.",YEAR(B21)=2020),E21,0)</f>
        <v/>
      </c>
    </row>
    <row r="22">
      <c r="A22" s="6" t="n">
        <v>21</v>
      </c>
      <c r="B22" s="13" t="n">
        <v>43836</v>
      </c>
      <c r="C22" s="6" t="inlineStr">
        <is>
          <t>A43</t>
        </is>
      </c>
      <c r="D22" s="6" t="n">
        <v>5</v>
      </c>
      <c r="E22" s="15" t="n">
        <v>377</v>
      </c>
      <c r="F22" s="5" t="inlineStr">
        <is>
          <t>нет</t>
        </is>
      </c>
      <c r="H22">
        <f>VLOOKUP(C22,Автомобили!$A$2:$G$1000,3,0)</f>
        <v/>
      </c>
      <c r="I22">
        <f>VLOOKUP(D22,Клиенты!$A$2:$D$1000,2,0)</f>
        <v/>
      </c>
      <c r="J22">
        <f>IF(AND(H22="Kaptur",I22="Окраинов Л.Г.",YEAR(B22)=2020),E22,0)</f>
        <v/>
      </c>
    </row>
    <row r="23">
      <c r="A23" s="6" t="n">
        <v>22</v>
      </c>
      <c r="B23" s="13" t="n">
        <v>43836</v>
      </c>
      <c r="C23" s="6" t="inlineStr">
        <is>
          <t>A36</t>
        </is>
      </c>
      <c r="D23" s="6" t="n">
        <v>1</v>
      </c>
      <c r="E23" s="15" t="n">
        <v>351</v>
      </c>
      <c r="F23" s="5" t="inlineStr">
        <is>
          <t>нет</t>
        </is>
      </c>
      <c r="H23">
        <f>VLOOKUP(C23,Автомобили!$A$2:$G$1000,3,0)</f>
        <v/>
      </c>
      <c r="I23">
        <f>VLOOKUP(D23,Клиенты!$A$2:$D$1000,2,0)</f>
        <v/>
      </c>
      <c r="J23">
        <f>IF(AND(H23="Kaptur",I23="Окраинов Л.Г.",YEAR(B23)=2020),E23,0)</f>
        <v/>
      </c>
    </row>
    <row r="24">
      <c r="A24" s="6" t="n">
        <v>23</v>
      </c>
      <c r="B24" s="13" t="n">
        <v>43836</v>
      </c>
      <c r="C24" s="6" t="inlineStr">
        <is>
          <t>A46</t>
        </is>
      </c>
      <c r="D24" s="6" t="n">
        <v>8</v>
      </c>
      <c r="E24" s="15" t="n">
        <v>186</v>
      </c>
      <c r="F24" s="5" t="inlineStr">
        <is>
          <t>нет</t>
        </is>
      </c>
      <c r="H24">
        <f>VLOOKUP(C24,Автомобили!$A$2:$G$1000,3,0)</f>
        <v/>
      </c>
      <c r="I24">
        <f>VLOOKUP(D24,Клиенты!$A$2:$D$1000,2,0)</f>
        <v/>
      </c>
      <c r="J24">
        <f>IF(AND(H24="Kaptur",I24="Окраинов Л.Г.",YEAR(B24)=2020),E24,0)</f>
        <v/>
      </c>
    </row>
    <row r="25">
      <c r="A25" s="6" t="n">
        <v>24</v>
      </c>
      <c r="B25" s="13" t="n">
        <v>43836</v>
      </c>
      <c r="C25" s="6" t="inlineStr">
        <is>
          <t>A62</t>
        </is>
      </c>
      <c r="D25" s="6" t="n">
        <v>4</v>
      </c>
      <c r="E25" s="15" t="n">
        <v>305</v>
      </c>
      <c r="F25" s="5" t="inlineStr">
        <is>
          <t>нет</t>
        </is>
      </c>
      <c r="H25">
        <f>VLOOKUP(C25,Автомобили!$A$2:$G$1000,3,0)</f>
        <v/>
      </c>
      <c r="I25">
        <f>VLOOKUP(D25,Клиенты!$A$2:$D$1000,2,0)</f>
        <v/>
      </c>
      <c r="J25">
        <f>IF(AND(H25="Kaptur",I25="Окраинов Л.Г.",YEAR(B25)=2020),E25,0)</f>
        <v/>
      </c>
    </row>
    <row r="26">
      <c r="A26" s="6" t="n">
        <v>25</v>
      </c>
      <c r="B26" s="13" t="n">
        <v>43837</v>
      </c>
      <c r="C26" s="6" t="inlineStr">
        <is>
          <t>A16</t>
        </is>
      </c>
      <c r="D26" s="6" t="n">
        <v>9</v>
      </c>
      <c r="E26" s="15" t="n">
        <v>122</v>
      </c>
      <c r="F26" s="5" t="inlineStr">
        <is>
          <t>нет</t>
        </is>
      </c>
      <c r="H26">
        <f>VLOOKUP(C26,Автомобили!$A$2:$G$1000,3,0)</f>
        <v/>
      </c>
      <c r="I26">
        <f>VLOOKUP(D26,Клиенты!$A$2:$D$1000,2,0)</f>
        <v/>
      </c>
      <c r="J26">
        <f>IF(AND(H26="Kaptur",I26="Окраинов Л.Г.",YEAR(B26)=2020),E26,0)</f>
        <v/>
      </c>
    </row>
    <row r="27">
      <c r="A27" s="6" t="n">
        <v>26</v>
      </c>
      <c r="B27" s="13" t="n">
        <v>43837</v>
      </c>
      <c r="C27" s="6" t="inlineStr">
        <is>
          <t>A11</t>
        </is>
      </c>
      <c r="D27" s="6" t="n">
        <v>14</v>
      </c>
      <c r="E27" s="15" t="n">
        <v>341</v>
      </c>
      <c r="F27" s="5" t="inlineStr">
        <is>
          <t>нет</t>
        </is>
      </c>
      <c r="H27">
        <f>VLOOKUP(C27,Автомобили!$A$2:$G$1000,3,0)</f>
        <v/>
      </c>
      <c r="I27">
        <f>VLOOKUP(D27,Клиенты!$A$2:$D$1000,2,0)</f>
        <v/>
      </c>
      <c r="J27">
        <f>IF(AND(H27="Kaptur",I27="Окраинов Л.Г.",YEAR(B27)=2020),E27,0)</f>
        <v/>
      </c>
    </row>
    <row r="28">
      <c r="A28" s="6" t="n">
        <v>27</v>
      </c>
      <c r="B28" s="13" t="n">
        <v>43837</v>
      </c>
      <c r="C28" s="6" t="inlineStr">
        <is>
          <t>A6</t>
        </is>
      </c>
      <c r="D28" s="6" t="n">
        <v>13</v>
      </c>
      <c r="E28" s="15" t="n">
        <v>287</v>
      </c>
      <c r="F28" s="5" t="inlineStr">
        <is>
          <t>нет</t>
        </is>
      </c>
      <c r="H28">
        <f>VLOOKUP(C28,Автомобили!$A$2:$G$1000,3,0)</f>
        <v/>
      </c>
      <c r="I28">
        <f>VLOOKUP(D28,Клиенты!$A$2:$D$1000,2,0)</f>
        <v/>
      </c>
      <c r="J28">
        <f>IF(AND(H28="Kaptur",I28="Окраинов Л.Г.",YEAR(B28)=2020),E28,0)</f>
        <v/>
      </c>
    </row>
    <row r="29">
      <c r="A29" s="6" t="n">
        <v>28</v>
      </c>
      <c r="B29" s="13" t="n">
        <v>43837</v>
      </c>
      <c r="C29" s="6" t="inlineStr">
        <is>
          <t>A49</t>
        </is>
      </c>
      <c r="D29" s="6" t="n">
        <v>12</v>
      </c>
      <c r="E29" s="15" t="n">
        <v>274</v>
      </c>
      <c r="F29" s="5" t="inlineStr">
        <is>
          <t>нет</t>
        </is>
      </c>
      <c r="H29">
        <f>VLOOKUP(C29,Автомобили!$A$2:$G$1000,3,0)</f>
        <v/>
      </c>
      <c r="I29">
        <f>VLOOKUP(D29,Клиенты!$A$2:$D$1000,2,0)</f>
        <v/>
      </c>
      <c r="J29">
        <f>IF(AND(H29="Kaptur",I29="Окраинов Л.Г.",YEAR(B29)=2020),E29,0)</f>
        <v/>
      </c>
    </row>
    <row r="30">
      <c r="A30" s="6" t="n">
        <v>29</v>
      </c>
      <c r="B30" s="13" t="n">
        <v>43838</v>
      </c>
      <c r="C30" s="6" t="inlineStr">
        <is>
          <t>A34</t>
        </is>
      </c>
      <c r="D30" s="6" t="n">
        <v>14</v>
      </c>
      <c r="E30" s="15" t="n">
        <v>168</v>
      </c>
      <c r="F30" s="5" t="inlineStr">
        <is>
          <t>нет</t>
        </is>
      </c>
      <c r="H30">
        <f>VLOOKUP(C30,Автомобили!$A$2:$G$1000,3,0)</f>
        <v/>
      </c>
      <c r="I30">
        <f>VLOOKUP(D30,Клиенты!$A$2:$D$1000,2,0)</f>
        <v/>
      </c>
      <c r="J30">
        <f>IF(AND(H30="Kaptur",I30="Окраинов Л.Г.",YEAR(B30)=2020),E30,0)</f>
        <v/>
      </c>
    </row>
    <row r="31">
      <c r="A31" s="6" t="n">
        <v>30</v>
      </c>
      <c r="B31" s="13" t="n">
        <v>43838</v>
      </c>
      <c r="C31" s="6" t="inlineStr">
        <is>
          <t>A4</t>
        </is>
      </c>
      <c r="D31" s="6" t="n">
        <v>4</v>
      </c>
      <c r="E31" s="15" t="n">
        <v>359</v>
      </c>
      <c r="F31" s="5" t="inlineStr">
        <is>
          <t>нет</t>
        </is>
      </c>
      <c r="H31">
        <f>VLOOKUP(C31,Автомобили!$A$2:$G$1000,3,0)</f>
        <v/>
      </c>
      <c r="I31">
        <f>VLOOKUP(D31,Клиенты!$A$2:$D$1000,2,0)</f>
        <v/>
      </c>
      <c r="J31">
        <f>IF(AND(H31="Kaptur",I31="Окраинов Л.Г.",YEAR(B31)=2020),E31,0)</f>
        <v/>
      </c>
    </row>
    <row r="32">
      <c r="A32" s="6" t="n">
        <v>31</v>
      </c>
      <c r="B32" s="13" t="n">
        <v>43838</v>
      </c>
      <c r="C32" s="6" t="inlineStr">
        <is>
          <t>A9</t>
        </is>
      </c>
      <c r="D32" s="6" t="n">
        <v>8</v>
      </c>
      <c r="E32" s="15" t="n">
        <v>370</v>
      </c>
      <c r="F32" s="5" t="inlineStr">
        <is>
          <t>нет</t>
        </is>
      </c>
      <c r="H32">
        <f>VLOOKUP(C32,Автомобили!$A$2:$G$1000,3,0)</f>
        <v/>
      </c>
      <c r="I32">
        <f>VLOOKUP(D32,Клиенты!$A$2:$D$1000,2,0)</f>
        <v/>
      </c>
      <c r="J32">
        <f>IF(AND(H32="Kaptur",I32="Окраинов Л.Г.",YEAR(B32)=2020),E32,0)</f>
        <v/>
      </c>
    </row>
    <row r="33">
      <c r="A33" s="6" t="n">
        <v>32</v>
      </c>
      <c r="B33" s="13" t="n">
        <v>43838</v>
      </c>
      <c r="C33" s="6" t="inlineStr">
        <is>
          <t>A52</t>
        </is>
      </c>
      <c r="D33" s="6" t="n">
        <v>12</v>
      </c>
      <c r="E33" s="15" t="n">
        <v>213</v>
      </c>
      <c r="F33" s="5" t="inlineStr">
        <is>
          <t>нет</t>
        </is>
      </c>
      <c r="H33">
        <f>VLOOKUP(C33,Автомобили!$A$2:$G$1000,3,0)</f>
        <v/>
      </c>
      <c r="I33">
        <f>VLOOKUP(D33,Клиенты!$A$2:$D$1000,2,0)</f>
        <v/>
      </c>
      <c r="J33">
        <f>IF(AND(H33="Kaptur",I33="Окраинов Л.Г.",YEAR(B33)=2020),E33,0)</f>
        <v/>
      </c>
    </row>
    <row r="34">
      <c r="A34" s="6" t="n">
        <v>33</v>
      </c>
      <c r="B34" s="13" t="n">
        <v>43839</v>
      </c>
      <c r="C34" s="6" t="inlineStr">
        <is>
          <t>A52</t>
        </is>
      </c>
      <c r="D34" s="6" t="n">
        <v>7</v>
      </c>
      <c r="E34" s="15" t="n">
        <v>287</v>
      </c>
      <c r="F34" s="5" t="inlineStr">
        <is>
          <t>нет</t>
        </is>
      </c>
      <c r="H34">
        <f>VLOOKUP(C34,Автомобили!$A$2:$G$1000,3,0)</f>
        <v/>
      </c>
      <c r="I34">
        <f>VLOOKUP(D34,Клиенты!$A$2:$D$1000,2,0)</f>
        <v/>
      </c>
      <c r="J34">
        <f>IF(AND(H34="Kaptur",I34="Окраинов Л.Г.",YEAR(B34)=2020),E34,0)</f>
        <v/>
      </c>
    </row>
    <row r="35">
      <c r="A35" s="6" t="n">
        <v>34</v>
      </c>
      <c r="B35" s="13" t="n">
        <v>43839</v>
      </c>
      <c r="C35" s="6" t="inlineStr">
        <is>
          <t>A21</t>
        </is>
      </c>
      <c r="D35" s="6" t="n">
        <v>7</v>
      </c>
      <c r="E35" s="15" t="n">
        <v>195</v>
      </c>
      <c r="F35" s="5" t="inlineStr">
        <is>
          <t>нет</t>
        </is>
      </c>
      <c r="H35">
        <f>VLOOKUP(C35,Автомобили!$A$2:$G$1000,3,0)</f>
        <v/>
      </c>
      <c r="I35">
        <f>VLOOKUP(D35,Клиенты!$A$2:$D$1000,2,0)</f>
        <v/>
      </c>
      <c r="J35">
        <f>IF(AND(H35="Kaptur",I35="Окраинов Л.Г.",YEAR(B35)=2020),E35,0)</f>
        <v/>
      </c>
    </row>
    <row r="36">
      <c r="A36" s="6" t="n">
        <v>35</v>
      </c>
      <c r="B36" s="13" t="n">
        <v>43839</v>
      </c>
      <c r="C36" s="6" t="inlineStr">
        <is>
          <t>A62</t>
        </is>
      </c>
      <c r="D36" s="6" t="n">
        <v>8</v>
      </c>
      <c r="E36" s="15" t="n">
        <v>351</v>
      </c>
      <c r="F36" s="5" t="inlineStr">
        <is>
          <t>нет</t>
        </is>
      </c>
      <c r="H36">
        <f>VLOOKUP(C36,Автомобили!$A$2:$G$1000,3,0)</f>
        <v/>
      </c>
      <c r="I36">
        <f>VLOOKUP(D36,Клиенты!$A$2:$D$1000,2,0)</f>
        <v/>
      </c>
      <c r="J36">
        <f>IF(AND(H36="Kaptur",I36="Окраинов Л.Г.",YEAR(B36)=2020),E36,0)</f>
        <v/>
      </c>
    </row>
    <row r="37">
      <c r="A37" s="6" t="n">
        <v>36</v>
      </c>
      <c r="B37" s="13" t="n">
        <v>43839</v>
      </c>
      <c r="C37" s="6" t="inlineStr">
        <is>
          <t>A62</t>
        </is>
      </c>
      <c r="D37" s="6" t="n">
        <v>15</v>
      </c>
      <c r="E37" s="15" t="n">
        <v>325</v>
      </c>
      <c r="F37" s="5" t="inlineStr">
        <is>
          <t>нет</t>
        </is>
      </c>
      <c r="H37">
        <f>VLOOKUP(C37,Автомобили!$A$2:$G$1000,3,0)</f>
        <v/>
      </c>
      <c r="I37">
        <f>VLOOKUP(D37,Клиенты!$A$2:$D$1000,2,0)</f>
        <v/>
      </c>
      <c r="J37">
        <f>IF(AND(H37="Kaptur",I37="Окраинов Л.Г.",YEAR(B37)=2020),E37,0)</f>
        <v/>
      </c>
    </row>
    <row r="38">
      <c r="A38" s="6" t="n">
        <v>37</v>
      </c>
      <c r="B38" s="13" t="n">
        <v>43840</v>
      </c>
      <c r="C38" s="6" t="inlineStr">
        <is>
          <t>A55</t>
        </is>
      </c>
      <c r="D38" s="6" t="n">
        <v>4</v>
      </c>
      <c r="E38" s="15" t="n">
        <v>327</v>
      </c>
      <c r="F38" s="5" t="inlineStr">
        <is>
          <t>нет</t>
        </is>
      </c>
      <c r="H38">
        <f>VLOOKUP(C38,Автомобили!$A$2:$G$1000,3,0)</f>
        <v/>
      </c>
      <c r="I38">
        <f>VLOOKUP(D38,Клиенты!$A$2:$D$1000,2,0)</f>
        <v/>
      </c>
      <c r="J38">
        <f>IF(AND(H38="Kaptur",I38="Окраинов Л.Г.",YEAR(B38)=2020),E38,0)</f>
        <v/>
      </c>
    </row>
    <row r="39">
      <c r="A39" s="6" t="n">
        <v>38</v>
      </c>
      <c r="B39" s="13" t="n">
        <v>43840</v>
      </c>
      <c r="C39" s="6" t="inlineStr">
        <is>
          <t>A19</t>
        </is>
      </c>
      <c r="D39" s="6" t="n">
        <v>6</v>
      </c>
      <c r="E39" s="15" t="n">
        <v>321</v>
      </c>
      <c r="F39" s="5" t="inlineStr">
        <is>
          <t>нет</t>
        </is>
      </c>
      <c r="H39">
        <f>VLOOKUP(C39,Автомобили!$A$2:$G$1000,3,0)</f>
        <v/>
      </c>
      <c r="I39">
        <f>VLOOKUP(D39,Клиенты!$A$2:$D$1000,2,0)</f>
        <v/>
      </c>
      <c r="J39">
        <f>IF(AND(H39="Kaptur",I39="Окраинов Л.Г.",YEAR(B39)=2020),E39,0)</f>
        <v/>
      </c>
    </row>
    <row r="40">
      <c r="A40" s="6" t="n">
        <v>39</v>
      </c>
      <c r="B40" s="13" t="n">
        <v>43840</v>
      </c>
      <c r="C40" s="6" t="inlineStr">
        <is>
          <t>A40</t>
        </is>
      </c>
      <c r="D40" s="6" t="n">
        <v>11</v>
      </c>
      <c r="E40" s="15" t="n">
        <v>80</v>
      </c>
      <c r="F40" s="5" t="inlineStr">
        <is>
          <t>нет</t>
        </is>
      </c>
      <c r="H40">
        <f>VLOOKUP(C40,Автомобили!$A$2:$G$1000,3,0)</f>
        <v/>
      </c>
      <c r="I40">
        <f>VLOOKUP(D40,Клиенты!$A$2:$D$1000,2,0)</f>
        <v/>
      </c>
      <c r="J40">
        <f>IF(AND(H40="Kaptur",I40="Окраинов Л.Г.",YEAR(B40)=2020),E40,0)</f>
        <v/>
      </c>
    </row>
    <row r="41">
      <c r="A41" s="6" t="n">
        <v>40</v>
      </c>
      <c r="B41" s="13" t="n">
        <v>43840</v>
      </c>
      <c r="C41" s="6" t="inlineStr">
        <is>
          <t>A7</t>
        </is>
      </c>
      <c r="D41" s="6" t="n">
        <v>5</v>
      </c>
      <c r="E41" s="15" t="n">
        <v>72</v>
      </c>
      <c r="F41" s="5" t="inlineStr">
        <is>
          <t>нет</t>
        </is>
      </c>
      <c r="H41">
        <f>VLOOKUP(C41,Автомобили!$A$2:$G$1000,3,0)</f>
        <v/>
      </c>
      <c r="I41">
        <f>VLOOKUP(D41,Клиенты!$A$2:$D$1000,2,0)</f>
        <v/>
      </c>
      <c r="J41">
        <f>IF(AND(H41="Kaptur",I41="Окраинов Л.Г.",YEAR(B41)=2020),E41,0)</f>
        <v/>
      </c>
    </row>
    <row r="42">
      <c r="A42" s="6" t="n">
        <v>41</v>
      </c>
      <c r="B42" s="13" t="n">
        <v>43841</v>
      </c>
      <c r="C42" s="6" t="inlineStr">
        <is>
          <t>A35</t>
        </is>
      </c>
      <c r="D42" s="6" t="n">
        <v>15</v>
      </c>
      <c r="E42" s="15" t="n">
        <v>447</v>
      </c>
      <c r="F42" s="5" t="inlineStr">
        <is>
          <t>нет</t>
        </is>
      </c>
      <c r="H42">
        <f>VLOOKUP(C42,Автомобили!$A$2:$G$1000,3,0)</f>
        <v/>
      </c>
      <c r="I42">
        <f>VLOOKUP(D42,Клиенты!$A$2:$D$1000,2,0)</f>
        <v/>
      </c>
      <c r="J42">
        <f>IF(AND(H42="Kaptur",I42="Окраинов Л.Г.",YEAR(B42)=2020),E42,0)</f>
        <v/>
      </c>
    </row>
    <row r="43">
      <c r="A43" s="6" t="n">
        <v>42</v>
      </c>
      <c r="B43" s="13" t="n">
        <v>43841</v>
      </c>
      <c r="C43" s="6" t="inlineStr">
        <is>
          <t>A50</t>
        </is>
      </c>
      <c r="D43" s="6" t="n">
        <v>10</v>
      </c>
      <c r="E43" s="15" t="n">
        <v>138</v>
      </c>
      <c r="F43" s="5" t="inlineStr">
        <is>
          <t>нет</t>
        </is>
      </c>
      <c r="H43">
        <f>VLOOKUP(C43,Автомобили!$A$2:$G$1000,3,0)</f>
        <v/>
      </c>
      <c r="I43">
        <f>VLOOKUP(D43,Клиенты!$A$2:$D$1000,2,0)</f>
        <v/>
      </c>
      <c r="J43">
        <f>IF(AND(H43="Kaptur",I43="Окраинов Л.Г.",YEAR(B43)=2020),E43,0)</f>
        <v/>
      </c>
    </row>
    <row r="44">
      <c r="A44" s="6" t="n">
        <v>43</v>
      </c>
      <c r="B44" s="13" t="n">
        <v>43841</v>
      </c>
      <c r="C44" s="6" t="inlineStr">
        <is>
          <t>A23</t>
        </is>
      </c>
      <c r="D44" s="6" t="n">
        <v>7</v>
      </c>
      <c r="E44" s="15" t="n">
        <v>102</v>
      </c>
      <c r="F44" s="5" t="inlineStr">
        <is>
          <t>нет</t>
        </is>
      </c>
      <c r="H44">
        <f>VLOOKUP(C44,Автомобили!$A$2:$G$1000,3,0)</f>
        <v/>
      </c>
      <c r="I44">
        <f>VLOOKUP(D44,Клиенты!$A$2:$D$1000,2,0)</f>
        <v/>
      </c>
      <c r="J44">
        <f>IF(AND(H44="Kaptur",I44="Окраинов Л.Г.",YEAR(B44)=2020),E44,0)</f>
        <v/>
      </c>
    </row>
    <row r="45">
      <c r="A45" s="6" t="n">
        <v>44</v>
      </c>
      <c r="B45" s="13" t="n">
        <v>43841</v>
      </c>
      <c r="C45" s="6" t="inlineStr">
        <is>
          <t>A12</t>
        </is>
      </c>
      <c r="D45" s="6" t="n">
        <v>8</v>
      </c>
      <c r="E45" s="15" t="n">
        <v>398</v>
      </c>
      <c r="F45" s="5" t="inlineStr">
        <is>
          <t>нет</t>
        </is>
      </c>
      <c r="H45">
        <f>VLOOKUP(C45,Автомобили!$A$2:$G$1000,3,0)</f>
        <v/>
      </c>
      <c r="I45">
        <f>VLOOKUP(D45,Клиенты!$A$2:$D$1000,2,0)</f>
        <v/>
      </c>
      <c r="J45">
        <f>IF(AND(H45="Kaptur",I45="Окраинов Л.Г.",YEAR(B45)=2020),E45,0)</f>
        <v/>
      </c>
    </row>
    <row r="46">
      <c r="A46" s="6" t="n">
        <v>45</v>
      </c>
      <c r="B46" s="13" t="n">
        <v>43842</v>
      </c>
      <c r="C46" s="6" t="inlineStr">
        <is>
          <t>A25</t>
        </is>
      </c>
      <c r="D46" s="6" t="n">
        <v>11</v>
      </c>
      <c r="E46" s="15" t="n">
        <v>347</v>
      </c>
      <c r="F46" s="5" t="inlineStr">
        <is>
          <t>нет</t>
        </is>
      </c>
      <c r="H46">
        <f>VLOOKUP(C46,Автомобили!$A$2:$G$1000,3,0)</f>
        <v/>
      </c>
      <c r="I46">
        <f>VLOOKUP(D46,Клиенты!$A$2:$D$1000,2,0)</f>
        <v/>
      </c>
      <c r="J46">
        <f>IF(AND(H46="Kaptur",I46="Окраинов Л.Г.",YEAR(B46)=2020),E46,0)</f>
        <v/>
      </c>
    </row>
    <row r="47">
      <c r="A47" s="6" t="n">
        <v>46</v>
      </c>
      <c r="B47" s="13" t="n">
        <v>43842</v>
      </c>
      <c r="C47" s="6" t="inlineStr">
        <is>
          <t>A28</t>
        </is>
      </c>
      <c r="D47" s="6" t="n">
        <v>12</v>
      </c>
      <c r="E47" s="15" t="n">
        <v>424</v>
      </c>
      <c r="F47" s="5" t="inlineStr">
        <is>
          <t>нет</t>
        </is>
      </c>
      <c r="H47">
        <f>VLOOKUP(C47,Автомобили!$A$2:$G$1000,3,0)</f>
        <v/>
      </c>
      <c r="I47">
        <f>VLOOKUP(D47,Клиенты!$A$2:$D$1000,2,0)</f>
        <v/>
      </c>
      <c r="J47">
        <f>IF(AND(H47="Kaptur",I47="Окраинов Л.Г.",YEAR(B47)=2020),E47,0)</f>
        <v/>
      </c>
    </row>
    <row r="48">
      <c r="A48" s="6" t="n">
        <v>47</v>
      </c>
      <c r="B48" s="13" t="n">
        <v>43842</v>
      </c>
      <c r="C48" s="6" t="inlineStr">
        <is>
          <t>A10</t>
        </is>
      </c>
      <c r="D48" s="6" t="n">
        <v>3</v>
      </c>
      <c r="E48" s="15" t="n">
        <v>183</v>
      </c>
      <c r="F48" s="5" t="inlineStr">
        <is>
          <t>нет</t>
        </is>
      </c>
      <c r="H48">
        <f>VLOOKUP(C48,Автомобили!$A$2:$G$1000,3,0)</f>
        <v/>
      </c>
      <c r="I48">
        <f>VLOOKUP(D48,Клиенты!$A$2:$D$1000,2,0)</f>
        <v/>
      </c>
      <c r="J48">
        <f>IF(AND(H48="Kaptur",I48="Окраинов Л.Г.",YEAR(B48)=2020),E48,0)</f>
        <v/>
      </c>
    </row>
    <row r="49">
      <c r="A49" s="6" t="n">
        <v>48</v>
      </c>
      <c r="B49" s="13" t="n">
        <v>43842</v>
      </c>
      <c r="C49" s="6" t="inlineStr">
        <is>
          <t>A7</t>
        </is>
      </c>
      <c r="D49" s="6" t="n">
        <v>5</v>
      </c>
      <c r="E49" s="15" t="n">
        <v>77</v>
      </c>
      <c r="F49" s="5" t="inlineStr">
        <is>
          <t>нет</t>
        </is>
      </c>
      <c r="H49">
        <f>VLOOKUP(C49,Автомобили!$A$2:$G$1000,3,0)</f>
        <v/>
      </c>
      <c r="I49">
        <f>VLOOKUP(D49,Клиенты!$A$2:$D$1000,2,0)</f>
        <v/>
      </c>
      <c r="J49">
        <f>IF(AND(H49="Kaptur",I49="Окраинов Л.Г.",YEAR(B49)=2020),E49,0)</f>
        <v/>
      </c>
    </row>
    <row r="50">
      <c r="A50" s="6" t="n">
        <v>49</v>
      </c>
      <c r="B50" s="13" t="n">
        <v>43843</v>
      </c>
      <c r="C50" s="6" t="inlineStr">
        <is>
          <t>A33</t>
        </is>
      </c>
      <c r="D50" s="6" t="n">
        <v>14</v>
      </c>
      <c r="E50" s="15" t="n">
        <v>86</v>
      </c>
      <c r="F50" s="5" t="inlineStr">
        <is>
          <t>нет</t>
        </is>
      </c>
      <c r="H50">
        <f>VLOOKUP(C50,Автомобили!$A$2:$G$1000,3,0)</f>
        <v/>
      </c>
      <c r="I50">
        <f>VLOOKUP(D50,Клиенты!$A$2:$D$1000,2,0)</f>
        <v/>
      </c>
      <c r="J50">
        <f>IF(AND(H50="Kaptur",I50="Окраинов Л.Г.",YEAR(B50)=2020),E50,0)</f>
        <v/>
      </c>
    </row>
    <row r="51">
      <c r="A51" s="6" t="n">
        <v>50</v>
      </c>
      <c r="B51" s="13" t="n">
        <v>43843</v>
      </c>
      <c r="C51" s="6" t="inlineStr">
        <is>
          <t>A63</t>
        </is>
      </c>
      <c r="D51" s="6" t="n">
        <v>8</v>
      </c>
      <c r="E51" s="15" t="n">
        <v>178</v>
      </c>
      <c r="F51" s="5" t="inlineStr">
        <is>
          <t>нет</t>
        </is>
      </c>
      <c r="H51">
        <f>VLOOKUP(C51,Автомобили!$A$2:$G$1000,3,0)</f>
        <v/>
      </c>
      <c r="I51">
        <f>VLOOKUP(D51,Клиенты!$A$2:$D$1000,2,0)</f>
        <v/>
      </c>
      <c r="J51">
        <f>IF(AND(H51="Kaptur",I51="Окраинов Л.Г.",YEAR(B51)=2020),E51,0)</f>
        <v/>
      </c>
    </row>
    <row r="52">
      <c r="A52" s="6" t="n">
        <v>51</v>
      </c>
      <c r="B52" s="13" t="n">
        <v>43843</v>
      </c>
      <c r="C52" s="6" t="inlineStr">
        <is>
          <t>A25</t>
        </is>
      </c>
      <c r="D52" s="6" t="n">
        <v>15</v>
      </c>
      <c r="E52" s="15" t="n">
        <v>94</v>
      </c>
      <c r="F52" s="5" t="inlineStr">
        <is>
          <t>нет</t>
        </is>
      </c>
      <c r="H52">
        <f>VLOOKUP(C52,Автомобили!$A$2:$G$1000,3,0)</f>
        <v/>
      </c>
      <c r="I52">
        <f>VLOOKUP(D52,Клиенты!$A$2:$D$1000,2,0)</f>
        <v/>
      </c>
      <c r="J52">
        <f>IF(AND(H52="Kaptur",I52="Окраинов Л.Г.",YEAR(B52)=2020),E52,0)</f>
        <v/>
      </c>
    </row>
    <row r="53">
      <c r="A53" s="6" t="n">
        <v>52</v>
      </c>
      <c r="B53" s="13" t="n">
        <v>43843</v>
      </c>
      <c r="C53" s="6" t="inlineStr">
        <is>
          <t>A36</t>
        </is>
      </c>
      <c r="D53" s="6" t="n">
        <v>4</v>
      </c>
      <c r="E53" s="15" t="n">
        <v>283</v>
      </c>
      <c r="F53" s="5" t="inlineStr">
        <is>
          <t>нет</t>
        </is>
      </c>
      <c r="H53">
        <f>VLOOKUP(C53,Автомобили!$A$2:$G$1000,3,0)</f>
        <v/>
      </c>
      <c r="I53">
        <f>VLOOKUP(D53,Клиенты!$A$2:$D$1000,2,0)</f>
        <v/>
      </c>
      <c r="J53">
        <f>IF(AND(H53="Kaptur",I53="Окраинов Л.Г.",YEAR(B53)=2020),E53,0)</f>
        <v/>
      </c>
    </row>
    <row r="54">
      <c r="A54" s="6" t="n">
        <v>53</v>
      </c>
      <c r="B54" s="13" t="n">
        <v>43844</v>
      </c>
      <c r="C54" s="6" t="inlineStr">
        <is>
          <t>A46</t>
        </is>
      </c>
      <c r="D54" s="6" t="n">
        <v>9</v>
      </c>
      <c r="E54" s="15" t="n">
        <v>437</v>
      </c>
      <c r="F54" s="5" t="inlineStr">
        <is>
          <t>нет</t>
        </is>
      </c>
      <c r="H54">
        <f>VLOOKUP(C54,Автомобили!$A$2:$G$1000,3,0)</f>
        <v/>
      </c>
      <c r="I54">
        <f>VLOOKUP(D54,Клиенты!$A$2:$D$1000,2,0)</f>
        <v/>
      </c>
      <c r="J54">
        <f>IF(AND(H54="Kaptur",I54="Окраинов Л.Г.",YEAR(B54)=2020),E54,0)</f>
        <v/>
      </c>
    </row>
    <row r="55">
      <c r="A55" s="6" t="n">
        <v>54</v>
      </c>
      <c r="B55" s="13" t="n">
        <v>43844</v>
      </c>
      <c r="C55" s="6" t="inlineStr">
        <is>
          <t>A26</t>
        </is>
      </c>
      <c r="D55" s="6" t="n">
        <v>11</v>
      </c>
      <c r="E55" s="15" t="n">
        <v>270</v>
      </c>
      <c r="F55" s="5" t="inlineStr">
        <is>
          <t>нет</t>
        </is>
      </c>
      <c r="H55">
        <f>VLOOKUP(C55,Автомобили!$A$2:$G$1000,3,0)</f>
        <v/>
      </c>
      <c r="I55">
        <f>VLOOKUP(D55,Клиенты!$A$2:$D$1000,2,0)</f>
        <v/>
      </c>
      <c r="J55">
        <f>IF(AND(H55="Kaptur",I55="Окраинов Л.Г.",YEAR(B55)=2020),E55,0)</f>
        <v/>
      </c>
    </row>
    <row r="56">
      <c r="A56" s="6" t="n">
        <v>55</v>
      </c>
      <c r="B56" s="13" t="n">
        <v>43844</v>
      </c>
      <c r="C56" s="6" t="inlineStr">
        <is>
          <t>A37</t>
        </is>
      </c>
      <c r="D56" s="6" t="n">
        <v>10</v>
      </c>
      <c r="E56" s="15" t="n">
        <v>195</v>
      </c>
      <c r="F56" s="5" t="inlineStr">
        <is>
          <t>нет</t>
        </is>
      </c>
      <c r="H56">
        <f>VLOOKUP(C56,Автомобили!$A$2:$G$1000,3,0)</f>
        <v/>
      </c>
      <c r="I56">
        <f>VLOOKUP(D56,Клиенты!$A$2:$D$1000,2,0)</f>
        <v/>
      </c>
      <c r="J56">
        <f>IF(AND(H56="Kaptur",I56="Окраинов Л.Г.",YEAR(B56)=2020),E56,0)</f>
        <v/>
      </c>
    </row>
    <row r="57">
      <c r="A57" s="6" t="n">
        <v>56</v>
      </c>
      <c r="B57" s="13" t="n">
        <v>43844</v>
      </c>
      <c r="C57" s="6" t="inlineStr">
        <is>
          <t>A46</t>
        </is>
      </c>
      <c r="D57" s="6" t="n">
        <v>8</v>
      </c>
      <c r="E57" s="15" t="n">
        <v>168</v>
      </c>
      <c r="F57" s="5" t="inlineStr">
        <is>
          <t>нет</t>
        </is>
      </c>
      <c r="H57">
        <f>VLOOKUP(C57,Автомобили!$A$2:$G$1000,3,0)</f>
        <v/>
      </c>
      <c r="I57">
        <f>VLOOKUP(D57,Клиенты!$A$2:$D$1000,2,0)</f>
        <v/>
      </c>
      <c r="J57">
        <f>IF(AND(H57="Kaptur",I57="Окраинов Л.Г.",YEAR(B57)=2020),E57,0)</f>
        <v/>
      </c>
    </row>
    <row r="58">
      <c r="A58" s="6" t="n">
        <v>57</v>
      </c>
      <c r="B58" s="13" t="n">
        <v>43845</v>
      </c>
      <c r="C58" s="6" t="inlineStr">
        <is>
          <t>A61</t>
        </is>
      </c>
      <c r="D58" s="6" t="n">
        <v>1</v>
      </c>
      <c r="E58" s="15" t="n">
        <v>346</v>
      </c>
      <c r="F58" s="5" t="inlineStr">
        <is>
          <t>нет</t>
        </is>
      </c>
      <c r="H58">
        <f>VLOOKUP(C58,Автомобили!$A$2:$G$1000,3,0)</f>
        <v/>
      </c>
      <c r="I58">
        <f>VLOOKUP(D58,Клиенты!$A$2:$D$1000,2,0)</f>
        <v/>
      </c>
      <c r="J58">
        <f>IF(AND(H58="Kaptur",I58="Окраинов Л.Г.",YEAR(B58)=2020),E58,0)</f>
        <v/>
      </c>
    </row>
    <row r="59">
      <c r="A59" s="6" t="n">
        <v>58</v>
      </c>
      <c r="B59" s="13" t="n">
        <v>43845</v>
      </c>
      <c r="C59" s="6" t="inlineStr">
        <is>
          <t>A44</t>
        </is>
      </c>
      <c r="D59" s="6" t="n">
        <v>10</v>
      </c>
      <c r="E59" s="15" t="n">
        <v>184</v>
      </c>
      <c r="F59" s="5" t="inlineStr">
        <is>
          <t>нет</t>
        </is>
      </c>
      <c r="H59">
        <f>VLOOKUP(C59,Автомобили!$A$2:$G$1000,3,0)</f>
        <v/>
      </c>
      <c r="I59">
        <f>VLOOKUP(D59,Клиенты!$A$2:$D$1000,2,0)</f>
        <v/>
      </c>
      <c r="J59">
        <f>IF(AND(H59="Kaptur",I59="Окраинов Л.Г.",YEAR(B59)=2020),E59,0)</f>
        <v/>
      </c>
    </row>
    <row r="60">
      <c r="A60" s="6" t="n">
        <v>59</v>
      </c>
      <c r="B60" s="13" t="n">
        <v>43845</v>
      </c>
      <c r="C60" s="6" t="inlineStr">
        <is>
          <t>A18</t>
        </is>
      </c>
      <c r="D60" s="6" t="n">
        <v>3</v>
      </c>
      <c r="E60" s="15" t="n">
        <v>92</v>
      </c>
      <c r="F60" s="5" t="inlineStr">
        <is>
          <t>нет</t>
        </is>
      </c>
      <c r="H60">
        <f>VLOOKUP(C60,Автомобили!$A$2:$G$1000,3,0)</f>
        <v/>
      </c>
      <c r="I60">
        <f>VLOOKUP(D60,Клиенты!$A$2:$D$1000,2,0)</f>
        <v/>
      </c>
      <c r="J60">
        <f>IF(AND(H60="Kaptur",I60="Окраинов Л.Г.",YEAR(B60)=2020),E60,0)</f>
        <v/>
      </c>
    </row>
    <row r="61">
      <c r="A61" s="6" t="n">
        <v>60</v>
      </c>
      <c r="B61" s="13" t="n">
        <v>43845</v>
      </c>
      <c r="C61" s="6" t="inlineStr">
        <is>
          <t>A14</t>
        </is>
      </c>
      <c r="D61" s="6" t="n">
        <v>13</v>
      </c>
      <c r="E61" s="15" t="n">
        <v>423</v>
      </c>
      <c r="F61" s="5" t="inlineStr">
        <is>
          <t>нет</t>
        </is>
      </c>
      <c r="H61">
        <f>VLOOKUP(C61,Автомобили!$A$2:$G$1000,3,0)</f>
        <v/>
      </c>
      <c r="I61">
        <f>VLOOKUP(D61,Клиенты!$A$2:$D$1000,2,0)</f>
        <v/>
      </c>
      <c r="J61">
        <f>IF(AND(H61="Kaptur",I61="Окраинов Л.Г.",YEAR(B61)=2020),E61,0)</f>
        <v/>
      </c>
    </row>
    <row r="62">
      <c r="A62" s="6" t="n">
        <v>61</v>
      </c>
      <c r="B62" s="13" t="n">
        <v>43846</v>
      </c>
      <c r="C62" s="6" t="inlineStr">
        <is>
          <t>A37</t>
        </is>
      </c>
      <c r="D62" s="6" t="n">
        <v>4</v>
      </c>
      <c r="E62" s="15" t="n">
        <v>227</v>
      </c>
      <c r="F62" s="5" t="inlineStr">
        <is>
          <t>нет</t>
        </is>
      </c>
      <c r="H62">
        <f>VLOOKUP(C62,Автомобили!$A$2:$G$1000,3,0)</f>
        <v/>
      </c>
      <c r="I62">
        <f>VLOOKUP(D62,Клиенты!$A$2:$D$1000,2,0)</f>
        <v/>
      </c>
      <c r="J62">
        <f>IF(AND(H62="Kaptur",I62="Окраинов Л.Г.",YEAR(B62)=2020),E62,0)</f>
        <v/>
      </c>
    </row>
    <row r="63">
      <c r="A63" s="6" t="n">
        <v>62</v>
      </c>
      <c r="B63" s="13" t="n">
        <v>43846</v>
      </c>
      <c r="C63" s="6" t="inlineStr">
        <is>
          <t>A37</t>
        </is>
      </c>
      <c r="D63" s="6" t="n">
        <v>3</v>
      </c>
      <c r="E63" s="15" t="n">
        <v>265</v>
      </c>
      <c r="F63" s="5" t="inlineStr">
        <is>
          <t>нет</t>
        </is>
      </c>
      <c r="H63">
        <f>VLOOKUP(C63,Автомобили!$A$2:$G$1000,3,0)</f>
        <v/>
      </c>
      <c r="I63">
        <f>VLOOKUP(D63,Клиенты!$A$2:$D$1000,2,0)</f>
        <v/>
      </c>
      <c r="J63">
        <f>IF(AND(H63="Kaptur",I63="Окраинов Л.Г.",YEAR(B63)=2020),E63,0)</f>
        <v/>
      </c>
    </row>
    <row r="64">
      <c r="A64" s="6" t="n">
        <v>63</v>
      </c>
      <c r="B64" s="13" t="n">
        <v>43846</v>
      </c>
      <c r="C64" s="6" t="inlineStr">
        <is>
          <t>A19</t>
        </is>
      </c>
      <c r="D64" s="6" t="n">
        <v>14</v>
      </c>
      <c r="E64" s="15" t="n">
        <v>201</v>
      </c>
      <c r="F64" s="5" t="inlineStr">
        <is>
          <t>нет</t>
        </is>
      </c>
      <c r="H64">
        <f>VLOOKUP(C64,Автомобили!$A$2:$G$1000,3,0)</f>
        <v/>
      </c>
      <c r="I64">
        <f>VLOOKUP(D64,Клиенты!$A$2:$D$1000,2,0)</f>
        <v/>
      </c>
      <c r="J64">
        <f>IF(AND(H64="Kaptur",I64="Окраинов Л.Г.",YEAR(B64)=2020),E64,0)</f>
        <v/>
      </c>
    </row>
    <row r="65">
      <c r="A65" s="6" t="n">
        <v>64</v>
      </c>
      <c r="B65" s="13" t="n">
        <v>43846</v>
      </c>
      <c r="C65" s="6" t="inlineStr">
        <is>
          <t>A37</t>
        </is>
      </c>
      <c r="D65" s="6" t="n">
        <v>7</v>
      </c>
      <c r="E65" s="15" t="n">
        <v>352</v>
      </c>
      <c r="F65" s="5" t="inlineStr">
        <is>
          <t>нет</t>
        </is>
      </c>
      <c r="H65">
        <f>VLOOKUP(C65,Автомобили!$A$2:$G$1000,3,0)</f>
        <v/>
      </c>
      <c r="I65">
        <f>VLOOKUP(D65,Клиенты!$A$2:$D$1000,2,0)</f>
        <v/>
      </c>
      <c r="J65">
        <f>IF(AND(H65="Kaptur",I65="Окраинов Л.Г.",YEAR(B65)=2020),E65,0)</f>
        <v/>
      </c>
    </row>
    <row r="66">
      <c r="A66" s="6" t="n">
        <v>65</v>
      </c>
      <c r="B66" s="13" t="n">
        <v>43847</v>
      </c>
      <c r="C66" s="6" t="inlineStr">
        <is>
          <t>A29</t>
        </is>
      </c>
      <c r="D66" s="6" t="n">
        <v>1</v>
      </c>
      <c r="E66" s="15" t="n">
        <v>252</v>
      </c>
      <c r="F66" s="5" t="inlineStr">
        <is>
          <t>нет</t>
        </is>
      </c>
      <c r="H66">
        <f>VLOOKUP(C66,Автомобили!$A$2:$G$1000,3,0)</f>
        <v/>
      </c>
      <c r="I66">
        <f>VLOOKUP(D66,Клиенты!$A$2:$D$1000,2,0)</f>
        <v/>
      </c>
      <c r="J66">
        <f>IF(AND(H66="Kaptur",I66="Окраинов Л.Г.",YEAR(B66)=2020),E66,0)</f>
        <v/>
      </c>
    </row>
    <row r="67">
      <c r="A67" s="6" t="n">
        <v>66</v>
      </c>
      <c r="B67" s="13" t="n">
        <v>43847</v>
      </c>
      <c r="C67" s="6" t="inlineStr">
        <is>
          <t>A12</t>
        </is>
      </c>
      <c r="D67" s="6" t="n">
        <v>10</v>
      </c>
      <c r="E67" s="15" t="n">
        <v>252</v>
      </c>
      <c r="F67" s="5" t="inlineStr">
        <is>
          <t>нет</t>
        </is>
      </c>
      <c r="H67">
        <f>VLOOKUP(C67,Автомобили!$A$2:$G$1000,3,0)</f>
        <v/>
      </c>
      <c r="I67">
        <f>VLOOKUP(D67,Клиенты!$A$2:$D$1000,2,0)</f>
        <v/>
      </c>
      <c r="J67">
        <f>IF(AND(H67="Kaptur",I67="Окраинов Л.Г.",YEAR(B67)=2020),E67,0)</f>
        <v/>
      </c>
    </row>
    <row r="68">
      <c r="A68" s="6" t="n">
        <v>67</v>
      </c>
      <c r="B68" s="13" t="n">
        <v>43847</v>
      </c>
      <c r="C68" s="6" t="inlineStr">
        <is>
          <t>A18</t>
        </is>
      </c>
      <c r="D68" s="6" t="n">
        <v>13</v>
      </c>
      <c r="E68" s="15" t="n">
        <v>156</v>
      </c>
      <c r="F68" s="5" t="inlineStr">
        <is>
          <t>нет</t>
        </is>
      </c>
      <c r="H68">
        <f>VLOOKUP(C68,Автомобили!$A$2:$G$1000,3,0)</f>
        <v/>
      </c>
      <c r="I68">
        <f>VLOOKUP(D68,Клиенты!$A$2:$D$1000,2,0)</f>
        <v/>
      </c>
      <c r="J68">
        <f>IF(AND(H68="Kaptur",I68="Окраинов Л.Г.",YEAR(B68)=2020),E68,0)</f>
        <v/>
      </c>
    </row>
    <row r="69">
      <c r="A69" s="6" t="n">
        <v>68</v>
      </c>
      <c r="B69" s="13" t="n">
        <v>43847</v>
      </c>
      <c r="C69" s="6" t="inlineStr">
        <is>
          <t>A3</t>
        </is>
      </c>
      <c r="D69" s="6" t="n">
        <v>10</v>
      </c>
      <c r="E69" s="15" t="n">
        <v>343</v>
      </c>
      <c r="F69" s="5" t="inlineStr">
        <is>
          <t>нет</t>
        </is>
      </c>
      <c r="H69">
        <f>VLOOKUP(C69,Автомобили!$A$2:$G$1000,3,0)</f>
        <v/>
      </c>
      <c r="I69">
        <f>VLOOKUP(D69,Клиенты!$A$2:$D$1000,2,0)</f>
        <v/>
      </c>
      <c r="J69">
        <f>IF(AND(H69="Kaptur",I69="Окраинов Л.Г.",YEAR(B69)=2020),E69,0)</f>
        <v/>
      </c>
    </row>
    <row r="70">
      <c r="A70" s="6" t="n">
        <v>69</v>
      </c>
      <c r="B70" s="13" t="n">
        <v>43848</v>
      </c>
      <c r="C70" s="6" t="inlineStr">
        <is>
          <t>A12</t>
        </is>
      </c>
      <c r="D70" s="6" t="n">
        <v>3</v>
      </c>
      <c r="E70" s="15" t="n">
        <v>90</v>
      </c>
      <c r="F70" s="5" t="inlineStr">
        <is>
          <t>нет</t>
        </is>
      </c>
      <c r="H70">
        <f>VLOOKUP(C70,Автомобили!$A$2:$G$1000,3,0)</f>
        <v/>
      </c>
      <c r="I70">
        <f>VLOOKUP(D70,Клиенты!$A$2:$D$1000,2,0)</f>
        <v/>
      </c>
      <c r="J70">
        <f>IF(AND(H70="Kaptur",I70="Окраинов Л.Г.",YEAR(B70)=2020),E70,0)</f>
        <v/>
      </c>
    </row>
    <row r="71">
      <c r="A71" s="6" t="n">
        <v>70</v>
      </c>
      <c r="B71" s="13" t="n">
        <v>43848</v>
      </c>
      <c r="C71" s="6" t="inlineStr">
        <is>
          <t>A35</t>
        </is>
      </c>
      <c r="D71" s="6" t="n">
        <v>8</v>
      </c>
      <c r="E71" s="15" t="n">
        <v>282</v>
      </c>
      <c r="F71" s="5" t="inlineStr">
        <is>
          <t>нет</t>
        </is>
      </c>
      <c r="H71">
        <f>VLOOKUP(C71,Автомобили!$A$2:$G$1000,3,0)</f>
        <v/>
      </c>
      <c r="I71">
        <f>VLOOKUP(D71,Клиенты!$A$2:$D$1000,2,0)</f>
        <v/>
      </c>
      <c r="J71">
        <f>IF(AND(H71="Kaptur",I71="Окраинов Л.Г.",YEAR(B71)=2020),E71,0)</f>
        <v/>
      </c>
    </row>
    <row r="72">
      <c r="A72" s="6" t="n">
        <v>71</v>
      </c>
      <c r="B72" s="13" t="n">
        <v>43848</v>
      </c>
      <c r="C72" s="6" t="inlineStr">
        <is>
          <t>A38</t>
        </is>
      </c>
      <c r="D72" s="6" t="n">
        <v>3</v>
      </c>
      <c r="E72" s="15" t="n">
        <v>315</v>
      </c>
      <c r="F72" s="5" t="inlineStr">
        <is>
          <t>нет</t>
        </is>
      </c>
      <c r="H72">
        <f>VLOOKUP(C72,Автомобили!$A$2:$G$1000,3,0)</f>
        <v/>
      </c>
      <c r="I72">
        <f>VLOOKUP(D72,Клиенты!$A$2:$D$1000,2,0)</f>
        <v/>
      </c>
      <c r="J72">
        <f>IF(AND(H72="Kaptur",I72="Окраинов Л.Г.",YEAR(B72)=2020),E72,0)</f>
        <v/>
      </c>
    </row>
    <row r="73">
      <c r="A73" s="6" t="n">
        <v>72</v>
      </c>
      <c r="B73" s="13" t="n">
        <v>43848</v>
      </c>
      <c r="C73" s="6" t="inlineStr">
        <is>
          <t>A26</t>
        </is>
      </c>
      <c r="D73" s="6" t="n">
        <v>5</v>
      </c>
      <c r="E73" s="15" t="n">
        <v>236</v>
      </c>
      <c r="F73" s="5" t="inlineStr">
        <is>
          <t>нет</t>
        </is>
      </c>
      <c r="H73">
        <f>VLOOKUP(C73,Автомобили!$A$2:$G$1000,3,0)</f>
        <v/>
      </c>
      <c r="I73">
        <f>VLOOKUP(D73,Клиенты!$A$2:$D$1000,2,0)</f>
        <v/>
      </c>
      <c r="J73">
        <f>IF(AND(H73="Kaptur",I73="Окраинов Л.Г.",YEAR(B73)=2020),E73,0)</f>
        <v/>
      </c>
    </row>
    <row r="74">
      <c r="A74" s="6" t="n">
        <v>73</v>
      </c>
      <c r="B74" s="13" t="n">
        <v>43849</v>
      </c>
      <c r="C74" s="6" t="inlineStr">
        <is>
          <t>A43</t>
        </is>
      </c>
      <c r="D74" s="6" t="n">
        <v>2</v>
      </c>
      <c r="E74" s="15" t="n">
        <v>368</v>
      </c>
      <c r="F74" s="5" t="inlineStr">
        <is>
          <t>нет</t>
        </is>
      </c>
      <c r="H74">
        <f>VLOOKUP(C74,Автомобили!$A$2:$G$1000,3,0)</f>
        <v/>
      </c>
      <c r="I74">
        <f>VLOOKUP(D74,Клиенты!$A$2:$D$1000,2,0)</f>
        <v/>
      </c>
      <c r="J74">
        <f>IF(AND(H74="Kaptur",I74="Окраинов Л.Г.",YEAR(B74)=2020),E74,0)</f>
        <v/>
      </c>
    </row>
    <row r="75">
      <c r="A75" s="6" t="n">
        <v>74</v>
      </c>
      <c r="B75" s="13" t="n">
        <v>43849</v>
      </c>
      <c r="C75" s="6" t="inlineStr">
        <is>
          <t>A40</t>
        </is>
      </c>
      <c r="D75" s="6" t="n">
        <v>1</v>
      </c>
      <c r="E75" s="15" t="n">
        <v>108</v>
      </c>
      <c r="F75" s="5" t="inlineStr">
        <is>
          <t>нет</t>
        </is>
      </c>
      <c r="H75">
        <f>VLOOKUP(C75,Автомобили!$A$2:$G$1000,3,0)</f>
        <v/>
      </c>
      <c r="I75">
        <f>VLOOKUP(D75,Клиенты!$A$2:$D$1000,2,0)</f>
        <v/>
      </c>
      <c r="J75">
        <f>IF(AND(H75="Kaptur",I75="Окраинов Л.Г.",YEAR(B75)=2020),E75,0)</f>
        <v/>
      </c>
    </row>
    <row r="76">
      <c r="A76" s="6" t="n">
        <v>75</v>
      </c>
      <c r="B76" s="13" t="n">
        <v>43849</v>
      </c>
      <c r="C76" s="6" t="inlineStr">
        <is>
          <t>A41</t>
        </is>
      </c>
      <c r="D76" s="6" t="n">
        <v>15</v>
      </c>
      <c r="E76" s="15" t="n">
        <v>173</v>
      </c>
      <c r="F76" s="5" t="inlineStr">
        <is>
          <t>нет</t>
        </is>
      </c>
      <c r="H76">
        <f>VLOOKUP(C76,Автомобили!$A$2:$G$1000,3,0)</f>
        <v/>
      </c>
      <c r="I76">
        <f>VLOOKUP(D76,Клиенты!$A$2:$D$1000,2,0)</f>
        <v/>
      </c>
      <c r="J76">
        <f>IF(AND(H76="Kaptur",I76="Окраинов Л.Г.",YEAR(B76)=2020),E76,0)</f>
        <v/>
      </c>
    </row>
    <row r="77">
      <c r="A77" s="6" t="n">
        <v>76</v>
      </c>
      <c r="B77" s="13" t="n">
        <v>43849</v>
      </c>
      <c r="C77" s="6" t="inlineStr">
        <is>
          <t>A38</t>
        </is>
      </c>
      <c r="D77" s="6" t="n">
        <v>2</v>
      </c>
      <c r="E77" s="15" t="n">
        <v>257</v>
      </c>
      <c r="F77" s="5" t="inlineStr">
        <is>
          <t>нет</t>
        </is>
      </c>
      <c r="H77">
        <f>VLOOKUP(C77,Автомобили!$A$2:$G$1000,3,0)</f>
        <v/>
      </c>
      <c r="I77">
        <f>VLOOKUP(D77,Клиенты!$A$2:$D$1000,2,0)</f>
        <v/>
      </c>
      <c r="J77">
        <f>IF(AND(H77="Kaptur",I77="Окраинов Л.Г.",YEAR(B77)=2020),E77,0)</f>
        <v/>
      </c>
    </row>
    <row r="78">
      <c r="A78" s="6" t="n">
        <v>77</v>
      </c>
      <c r="B78" s="13" t="n">
        <v>43850</v>
      </c>
      <c r="C78" s="6" t="inlineStr">
        <is>
          <t>A64</t>
        </is>
      </c>
      <c r="D78" s="6" t="n">
        <v>13</v>
      </c>
      <c r="E78" s="15" t="n">
        <v>276</v>
      </c>
      <c r="F78" s="5" t="inlineStr">
        <is>
          <t>нет</t>
        </is>
      </c>
      <c r="H78">
        <f>VLOOKUP(C78,Автомобили!$A$2:$G$1000,3,0)</f>
        <v/>
      </c>
      <c r="I78">
        <f>VLOOKUP(D78,Клиенты!$A$2:$D$1000,2,0)</f>
        <v/>
      </c>
      <c r="J78">
        <f>IF(AND(H78="Kaptur",I78="Окраинов Л.Г.",YEAR(B78)=2020),E78,0)</f>
        <v/>
      </c>
    </row>
    <row r="79">
      <c r="A79" s="6" t="n">
        <v>78</v>
      </c>
      <c r="B79" s="13" t="n">
        <v>43850</v>
      </c>
      <c r="C79" s="6" t="inlineStr">
        <is>
          <t>A63</t>
        </is>
      </c>
      <c r="D79" s="6" t="n">
        <v>12</v>
      </c>
      <c r="E79" s="15" t="n">
        <v>241</v>
      </c>
      <c r="F79" s="5" t="inlineStr">
        <is>
          <t>нет</t>
        </is>
      </c>
      <c r="H79">
        <f>VLOOKUP(C79,Автомобили!$A$2:$G$1000,3,0)</f>
        <v/>
      </c>
      <c r="I79">
        <f>VLOOKUP(D79,Клиенты!$A$2:$D$1000,2,0)</f>
        <v/>
      </c>
      <c r="J79">
        <f>IF(AND(H79="Kaptur",I79="Окраинов Л.Г.",YEAR(B79)=2020),E79,0)</f>
        <v/>
      </c>
    </row>
    <row r="80">
      <c r="A80" s="6" t="n">
        <v>79</v>
      </c>
      <c r="B80" s="13" t="n">
        <v>43850</v>
      </c>
      <c r="C80" s="6" t="inlineStr">
        <is>
          <t>A50</t>
        </is>
      </c>
      <c r="D80" s="6" t="n">
        <v>3</v>
      </c>
      <c r="E80" s="15" t="n">
        <v>86</v>
      </c>
      <c r="F80" s="5" t="inlineStr">
        <is>
          <t>нет</t>
        </is>
      </c>
      <c r="H80">
        <f>VLOOKUP(C80,Автомобили!$A$2:$G$1000,3,0)</f>
        <v/>
      </c>
      <c r="I80">
        <f>VLOOKUP(D80,Клиенты!$A$2:$D$1000,2,0)</f>
        <v/>
      </c>
      <c r="J80">
        <f>IF(AND(H80="Kaptur",I80="Окраинов Л.Г.",YEAR(B80)=2020),E80,0)</f>
        <v/>
      </c>
    </row>
    <row r="81">
      <c r="A81" s="6" t="n">
        <v>80</v>
      </c>
      <c r="B81" s="13" t="n">
        <v>43850</v>
      </c>
      <c r="C81" s="6" t="inlineStr">
        <is>
          <t>A53</t>
        </is>
      </c>
      <c r="D81" s="6" t="n">
        <v>11</v>
      </c>
      <c r="E81" s="15" t="n">
        <v>428</v>
      </c>
      <c r="F81" s="5" t="inlineStr">
        <is>
          <t>нет</t>
        </is>
      </c>
      <c r="H81">
        <f>VLOOKUP(C81,Автомобили!$A$2:$G$1000,3,0)</f>
        <v/>
      </c>
      <c r="I81">
        <f>VLOOKUP(D81,Клиенты!$A$2:$D$1000,2,0)</f>
        <v/>
      </c>
      <c r="J81">
        <f>IF(AND(H81="Kaptur",I81="Окраинов Л.Г.",YEAR(B81)=2020),E81,0)</f>
        <v/>
      </c>
    </row>
    <row r="82">
      <c r="A82" s="6" t="n">
        <v>81</v>
      </c>
      <c r="B82" s="13" t="n">
        <v>43851</v>
      </c>
      <c r="C82" s="6" t="inlineStr">
        <is>
          <t>A11</t>
        </is>
      </c>
      <c r="D82" s="6" t="n">
        <v>15</v>
      </c>
      <c r="E82" s="15" t="n">
        <v>344</v>
      </c>
      <c r="F82" s="5" t="inlineStr">
        <is>
          <t>нет</t>
        </is>
      </c>
      <c r="H82">
        <f>VLOOKUP(C82,Автомобили!$A$2:$G$1000,3,0)</f>
        <v/>
      </c>
      <c r="I82">
        <f>VLOOKUP(D82,Клиенты!$A$2:$D$1000,2,0)</f>
        <v/>
      </c>
      <c r="J82">
        <f>IF(AND(H82="Kaptur",I82="Окраинов Л.Г.",YEAR(B82)=2020),E82,0)</f>
        <v/>
      </c>
    </row>
    <row r="83">
      <c r="A83" s="6" t="n">
        <v>82</v>
      </c>
      <c r="B83" s="13" t="n">
        <v>43851</v>
      </c>
      <c r="C83" s="6" t="inlineStr">
        <is>
          <t>A50</t>
        </is>
      </c>
      <c r="D83" s="6" t="n">
        <v>10</v>
      </c>
      <c r="E83" s="15" t="n">
        <v>379</v>
      </c>
      <c r="F83" s="5" t="inlineStr">
        <is>
          <t>нет</t>
        </is>
      </c>
      <c r="H83">
        <f>VLOOKUP(C83,Автомобили!$A$2:$G$1000,3,0)</f>
        <v/>
      </c>
      <c r="I83">
        <f>VLOOKUP(D83,Клиенты!$A$2:$D$1000,2,0)</f>
        <v/>
      </c>
      <c r="J83">
        <f>IF(AND(H83="Kaptur",I83="Окраинов Л.Г.",YEAR(B83)=2020),E83,0)</f>
        <v/>
      </c>
    </row>
    <row r="84">
      <c r="A84" s="6" t="n">
        <v>83</v>
      </c>
      <c r="B84" s="13" t="n">
        <v>43851</v>
      </c>
      <c r="C84" s="6" t="inlineStr">
        <is>
          <t>A7</t>
        </is>
      </c>
      <c r="D84" s="6" t="n">
        <v>6</v>
      </c>
      <c r="E84" s="15" t="n">
        <v>307</v>
      </c>
      <c r="F84" s="5" t="inlineStr">
        <is>
          <t>нет</t>
        </is>
      </c>
      <c r="H84">
        <f>VLOOKUP(C84,Автомобили!$A$2:$G$1000,3,0)</f>
        <v/>
      </c>
      <c r="I84">
        <f>VLOOKUP(D84,Клиенты!$A$2:$D$1000,2,0)</f>
        <v/>
      </c>
      <c r="J84">
        <f>IF(AND(H84="Kaptur",I84="Окраинов Л.Г.",YEAR(B84)=2020),E84,0)</f>
        <v/>
      </c>
    </row>
    <row r="85">
      <c r="A85" s="6" t="n">
        <v>84</v>
      </c>
      <c r="B85" s="13" t="n">
        <v>43851</v>
      </c>
      <c r="C85" s="6" t="inlineStr">
        <is>
          <t>A10</t>
        </is>
      </c>
      <c r="D85" s="6" t="n">
        <v>7</v>
      </c>
      <c r="E85" s="15" t="n">
        <v>108</v>
      </c>
      <c r="F85" s="5" t="inlineStr">
        <is>
          <t>нет</t>
        </is>
      </c>
      <c r="H85">
        <f>VLOOKUP(C85,Автомобили!$A$2:$G$1000,3,0)</f>
        <v/>
      </c>
      <c r="I85">
        <f>VLOOKUP(D85,Клиенты!$A$2:$D$1000,2,0)</f>
        <v/>
      </c>
      <c r="J85">
        <f>IF(AND(H85="Kaptur",I85="Окраинов Л.Г.",YEAR(B85)=2020),E85,0)</f>
        <v/>
      </c>
    </row>
    <row r="86">
      <c r="A86" s="6" t="n">
        <v>85</v>
      </c>
      <c r="B86" s="13" t="n">
        <v>43852</v>
      </c>
      <c r="C86" s="6" t="inlineStr">
        <is>
          <t>A21</t>
        </is>
      </c>
      <c r="D86" s="6" t="n">
        <v>14</v>
      </c>
      <c r="E86" s="15" t="n">
        <v>184</v>
      </c>
      <c r="F86" s="5" t="inlineStr">
        <is>
          <t>нет</t>
        </is>
      </c>
      <c r="H86">
        <f>VLOOKUP(C86,Автомобили!$A$2:$G$1000,3,0)</f>
        <v/>
      </c>
      <c r="I86">
        <f>VLOOKUP(D86,Клиенты!$A$2:$D$1000,2,0)</f>
        <v/>
      </c>
      <c r="J86">
        <f>IF(AND(H86="Kaptur",I86="Окраинов Л.Г.",YEAR(B86)=2020),E86,0)</f>
        <v/>
      </c>
    </row>
    <row r="87">
      <c r="A87" s="6" t="n">
        <v>86</v>
      </c>
      <c r="B87" s="13" t="n">
        <v>43852</v>
      </c>
      <c r="C87" s="6" t="inlineStr">
        <is>
          <t>A24</t>
        </is>
      </c>
      <c r="D87" s="6" t="n">
        <v>15</v>
      </c>
      <c r="E87" s="15" t="n">
        <v>219</v>
      </c>
      <c r="F87" s="5" t="inlineStr">
        <is>
          <t>нет</t>
        </is>
      </c>
      <c r="H87">
        <f>VLOOKUP(C87,Автомобили!$A$2:$G$1000,3,0)</f>
        <v/>
      </c>
      <c r="I87">
        <f>VLOOKUP(D87,Клиенты!$A$2:$D$1000,2,0)</f>
        <v/>
      </c>
      <c r="J87">
        <f>IF(AND(H87="Kaptur",I87="Окраинов Л.Г.",YEAR(B87)=2020),E87,0)</f>
        <v/>
      </c>
    </row>
    <row r="88">
      <c r="A88" s="6" t="n">
        <v>87</v>
      </c>
      <c r="B88" s="13" t="n">
        <v>43852</v>
      </c>
      <c r="C88" s="6" t="inlineStr">
        <is>
          <t>A25</t>
        </is>
      </c>
      <c r="D88" s="6" t="n">
        <v>12</v>
      </c>
      <c r="E88" s="15" t="n">
        <v>295</v>
      </c>
      <c r="F88" s="5" t="inlineStr">
        <is>
          <t>нет</t>
        </is>
      </c>
      <c r="H88">
        <f>VLOOKUP(C88,Автомобили!$A$2:$G$1000,3,0)</f>
        <v/>
      </c>
      <c r="I88">
        <f>VLOOKUP(D88,Клиенты!$A$2:$D$1000,2,0)</f>
        <v/>
      </c>
      <c r="J88">
        <f>IF(AND(H88="Kaptur",I88="Окраинов Л.Г.",YEAR(B88)=2020),E88,0)</f>
        <v/>
      </c>
    </row>
    <row r="89">
      <c r="A89" s="6" t="n">
        <v>88</v>
      </c>
      <c r="B89" s="13" t="n">
        <v>43852</v>
      </c>
      <c r="C89" s="6" t="inlineStr">
        <is>
          <t>A24</t>
        </is>
      </c>
      <c r="D89" s="6" t="n">
        <v>12</v>
      </c>
      <c r="E89" s="15" t="n">
        <v>181</v>
      </c>
      <c r="F89" s="5" t="inlineStr">
        <is>
          <t>нет</t>
        </is>
      </c>
      <c r="H89">
        <f>VLOOKUP(C89,Автомобили!$A$2:$G$1000,3,0)</f>
        <v/>
      </c>
      <c r="I89">
        <f>VLOOKUP(D89,Клиенты!$A$2:$D$1000,2,0)</f>
        <v/>
      </c>
      <c r="J89">
        <f>IF(AND(H89="Kaptur",I89="Окраинов Л.Г.",YEAR(B89)=2020),E89,0)</f>
        <v/>
      </c>
    </row>
    <row r="90">
      <c r="A90" s="6" t="n">
        <v>89</v>
      </c>
      <c r="B90" s="13" t="n">
        <v>43853</v>
      </c>
      <c r="C90" s="6" t="inlineStr">
        <is>
          <t>A57</t>
        </is>
      </c>
      <c r="D90" s="6" t="n">
        <v>6</v>
      </c>
      <c r="E90" s="15" t="n">
        <v>309</v>
      </c>
      <c r="F90" s="5" t="inlineStr">
        <is>
          <t>нет</t>
        </is>
      </c>
      <c r="H90">
        <f>VLOOKUP(C90,Автомобили!$A$2:$G$1000,3,0)</f>
        <v/>
      </c>
      <c r="I90">
        <f>VLOOKUP(D90,Клиенты!$A$2:$D$1000,2,0)</f>
        <v/>
      </c>
      <c r="J90">
        <f>IF(AND(H90="Kaptur",I90="Окраинов Л.Г.",YEAR(B90)=2020),E90,0)</f>
        <v/>
      </c>
    </row>
    <row r="91">
      <c r="A91" s="6" t="n">
        <v>90</v>
      </c>
      <c r="B91" s="13" t="n">
        <v>43853</v>
      </c>
      <c r="C91" s="6" t="inlineStr">
        <is>
          <t>A5</t>
        </is>
      </c>
      <c r="D91" s="6" t="n">
        <v>11</v>
      </c>
      <c r="E91" s="15" t="n">
        <v>358</v>
      </c>
      <c r="F91" s="5" t="inlineStr">
        <is>
          <t>нет</t>
        </is>
      </c>
      <c r="H91">
        <f>VLOOKUP(C91,Автомобили!$A$2:$G$1000,3,0)</f>
        <v/>
      </c>
      <c r="I91">
        <f>VLOOKUP(D91,Клиенты!$A$2:$D$1000,2,0)</f>
        <v/>
      </c>
      <c r="J91">
        <f>IF(AND(H91="Kaptur",I91="Окраинов Л.Г.",YEAR(B91)=2020),E91,0)</f>
        <v/>
      </c>
    </row>
    <row r="92">
      <c r="A92" s="6" t="n">
        <v>91</v>
      </c>
      <c r="B92" s="13" t="n">
        <v>43853</v>
      </c>
      <c r="C92" s="6" t="inlineStr">
        <is>
          <t>A57</t>
        </is>
      </c>
      <c r="D92" s="6" t="n">
        <v>12</v>
      </c>
      <c r="E92" s="15" t="n">
        <v>76</v>
      </c>
      <c r="F92" s="5" t="inlineStr">
        <is>
          <t>нет</t>
        </is>
      </c>
      <c r="H92">
        <f>VLOOKUP(C92,Автомобили!$A$2:$G$1000,3,0)</f>
        <v/>
      </c>
      <c r="I92">
        <f>VLOOKUP(D92,Клиенты!$A$2:$D$1000,2,0)</f>
        <v/>
      </c>
      <c r="J92">
        <f>IF(AND(H92="Kaptur",I92="Окраинов Л.Г.",YEAR(B92)=2020),E92,0)</f>
        <v/>
      </c>
    </row>
    <row r="93">
      <c r="A93" s="6" t="n">
        <v>92</v>
      </c>
      <c r="B93" s="13" t="n">
        <v>43853</v>
      </c>
      <c r="C93" s="6" t="inlineStr">
        <is>
          <t>A42</t>
        </is>
      </c>
      <c r="D93" s="6" t="n">
        <v>6</v>
      </c>
      <c r="E93" s="15" t="n">
        <v>171</v>
      </c>
      <c r="F93" s="5" t="inlineStr">
        <is>
          <t>нет</t>
        </is>
      </c>
      <c r="H93">
        <f>VLOOKUP(C93,Автомобили!$A$2:$G$1000,3,0)</f>
        <v/>
      </c>
      <c r="I93">
        <f>VLOOKUP(D93,Клиенты!$A$2:$D$1000,2,0)</f>
        <v/>
      </c>
      <c r="J93">
        <f>IF(AND(H93="Kaptur",I93="Окраинов Л.Г.",YEAR(B93)=2020),E93,0)</f>
        <v/>
      </c>
    </row>
    <row r="94">
      <c r="A94" s="6" t="n">
        <v>93</v>
      </c>
      <c r="B94" s="13" t="n">
        <v>43854</v>
      </c>
      <c r="C94" s="6" t="inlineStr">
        <is>
          <t>A12</t>
        </is>
      </c>
      <c r="D94" s="6" t="n">
        <v>9</v>
      </c>
      <c r="E94" s="15" t="n">
        <v>126</v>
      </c>
      <c r="F94" s="5" t="inlineStr">
        <is>
          <t>нет</t>
        </is>
      </c>
      <c r="H94">
        <f>VLOOKUP(C94,Автомобили!$A$2:$G$1000,3,0)</f>
        <v/>
      </c>
      <c r="I94">
        <f>VLOOKUP(D94,Клиенты!$A$2:$D$1000,2,0)</f>
        <v/>
      </c>
      <c r="J94">
        <f>IF(AND(H94="Kaptur",I94="Окраинов Л.Г.",YEAR(B94)=2020),E94,0)</f>
        <v/>
      </c>
    </row>
    <row r="95">
      <c r="A95" s="6" t="n">
        <v>94</v>
      </c>
      <c r="B95" s="13" t="n">
        <v>43854</v>
      </c>
      <c r="C95" s="6" t="inlineStr">
        <is>
          <t>A14</t>
        </is>
      </c>
      <c r="D95" s="6" t="n">
        <v>11</v>
      </c>
      <c r="E95" s="15" t="n">
        <v>429</v>
      </c>
      <c r="F95" s="5" t="inlineStr">
        <is>
          <t>нет</t>
        </is>
      </c>
      <c r="H95">
        <f>VLOOKUP(C95,Автомобили!$A$2:$G$1000,3,0)</f>
        <v/>
      </c>
      <c r="I95">
        <f>VLOOKUP(D95,Клиенты!$A$2:$D$1000,2,0)</f>
        <v/>
      </c>
      <c r="J95">
        <f>IF(AND(H95="Kaptur",I95="Окраинов Л.Г.",YEAR(B95)=2020),E95,0)</f>
        <v/>
      </c>
    </row>
    <row r="96">
      <c r="A96" s="6" t="n">
        <v>95</v>
      </c>
      <c r="B96" s="13" t="n">
        <v>43854</v>
      </c>
      <c r="C96" s="6" t="inlineStr">
        <is>
          <t>A28</t>
        </is>
      </c>
      <c r="D96" s="6" t="n">
        <v>5</v>
      </c>
      <c r="E96" s="15" t="n">
        <v>88</v>
      </c>
      <c r="F96" s="5" t="inlineStr">
        <is>
          <t>нет</t>
        </is>
      </c>
      <c r="H96">
        <f>VLOOKUP(C96,Автомобили!$A$2:$G$1000,3,0)</f>
        <v/>
      </c>
      <c r="I96">
        <f>VLOOKUP(D96,Клиенты!$A$2:$D$1000,2,0)</f>
        <v/>
      </c>
      <c r="J96">
        <f>IF(AND(H96="Kaptur",I96="Окраинов Л.Г.",YEAR(B96)=2020),E96,0)</f>
        <v/>
      </c>
    </row>
    <row r="97">
      <c r="A97" s="6" t="n">
        <v>96</v>
      </c>
      <c r="B97" s="13" t="n">
        <v>43854</v>
      </c>
      <c r="C97" s="6" t="inlineStr">
        <is>
          <t>A55</t>
        </is>
      </c>
      <c r="D97" s="6" t="n">
        <v>2</v>
      </c>
      <c r="E97" s="15" t="n">
        <v>448</v>
      </c>
      <c r="F97" s="5" t="inlineStr">
        <is>
          <t>нет</t>
        </is>
      </c>
      <c r="H97">
        <f>VLOOKUP(C97,Автомобили!$A$2:$G$1000,3,0)</f>
        <v/>
      </c>
      <c r="I97">
        <f>VLOOKUP(D97,Клиенты!$A$2:$D$1000,2,0)</f>
        <v/>
      </c>
      <c r="J97">
        <f>IF(AND(H97="Kaptur",I97="Окраинов Л.Г.",YEAR(B97)=2020),E97,0)</f>
        <v/>
      </c>
    </row>
    <row r="98">
      <c r="A98" s="6" t="n">
        <v>97</v>
      </c>
      <c r="B98" s="13" t="n">
        <v>43855</v>
      </c>
      <c r="C98" s="6" t="inlineStr">
        <is>
          <t>A62</t>
        </is>
      </c>
      <c r="D98" s="6" t="n">
        <v>9</v>
      </c>
      <c r="E98" s="15" t="n">
        <v>407</v>
      </c>
      <c r="F98" s="5" t="inlineStr">
        <is>
          <t>нет</t>
        </is>
      </c>
      <c r="H98">
        <f>VLOOKUP(C98,Автомобили!$A$2:$G$1000,3,0)</f>
        <v/>
      </c>
      <c r="I98">
        <f>VLOOKUP(D98,Клиенты!$A$2:$D$1000,2,0)</f>
        <v/>
      </c>
      <c r="J98">
        <f>IF(AND(H98="Kaptur",I98="Окраинов Л.Г.",YEAR(B98)=2020),E98,0)</f>
        <v/>
      </c>
    </row>
    <row r="99">
      <c r="A99" s="6" t="n">
        <v>98</v>
      </c>
      <c r="B99" s="13" t="n">
        <v>43855</v>
      </c>
      <c r="C99" s="6" t="inlineStr">
        <is>
          <t>A14</t>
        </is>
      </c>
      <c r="D99" s="6" t="n">
        <v>1</v>
      </c>
      <c r="E99" s="15" t="n">
        <v>154</v>
      </c>
      <c r="F99" s="5" t="inlineStr">
        <is>
          <t>нет</t>
        </is>
      </c>
      <c r="H99">
        <f>VLOOKUP(C99,Автомобили!$A$2:$G$1000,3,0)</f>
        <v/>
      </c>
      <c r="I99">
        <f>VLOOKUP(D99,Клиенты!$A$2:$D$1000,2,0)</f>
        <v/>
      </c>
      <c r="J99">
        <f>IF(AND(H99="Kaptur",I99="Окраинов Л.Г.",YEAR(B99)=2020),E99,0)</f>
        <v/>
      </c>
    </row>
    <row r="100">
      <c r="A100" s="6" t="n">
        <v>99</v>
      </c>
      <c r="B100" s="13" t="n">
        <v>43855</v>
      </c>
      <c r="C100" s="6" t="inlineStr">
        <is>
          <t>A62</t>
        </is>
      </c>
      <c r="D100" s="6" t="n">
        <v>9</v>
      </c>
      <c r="E100" s="15" t="n">
        <v>129</v>
      </c>
      <c r="F100" s="5" t="inlineStr">
        <is>
          <t>нет</t>
        </is>
      </c>
      <c r="H100">
        <f>VLOOKUP(C100,Автомобили!$A$2:$G$1000,3,0)</f>
        <v/>
      </c>
      <c r="I100">
        <f>VLOOKUP(D100,Клиенты!$A$2:$D$1000,2,0)</f>
        <v/>
      </c>
      <c r="J100">
        <f>IF(AND(H100="Kaptur",I100="Окраинов Л.Г.",YEAR(B100)=2020),E100,0)</f>
        <v/>
      </c>
    </row>
    <row r="101">
      <c r="A101" s="6" t="n">
        <v>100</v>
      </c>
      <c r="B101" s="13" t="n">
        <v>43855</v>
      </c>
      <c r="C101" s="6" t="inlineStr">
        <is>
          <t>A61</t>
        </is>
      </c>
      <c r="D101" s="6" t="n">
        <v>2</v>
      </c>
      <c r="E101" s="15" t="n">
        <v>262</v>
      </c>
      <c r="F101" s="5" t="inlineStr">
        <is>
          <t>нет</t>
        </is>
      </c>
      <c r="H101">
        <f>VLOOKUP(C101,Автомобили!$A$2:$G$1000,3,0)</f>
        <v/>
      </c>
      <c r="I101">
        <f>VLOOKUP(D101,Клиенты!$A$2:$D$1000,2,0)</f>
        <v/>
      </c>
      <c r="J101">
        <f>IF(AND(H101="Kaptur",I101="Окраинов Л.Г.",YEAR(B101)=2020),E101,0)</f>
        <v/>
      </c>
    </row>
    <row r="102">
      <c r="A102" s="6" t="n">
        <v>101</v>
      </c>
      <c r="B102" s="13" t="n">
        <v>43856</v>
      </c>
      <c r="C102" s="6" t="inlineStr">
        <is>
          <t>A35</t>
        </is>
      </c>
      <c r="D102" s="6" t="n">
        <v>3</v>
      </c>
      <c r="E102" s="15" t="n">
        <v>222</v>
      </c>
      <c r="F102" s="5" t="inlineStr">
        <is>
          <t>нет</t>
        </is>
      </c>
      <c r="H102">
        <f>VLOOKUP(C102,Автомобили!$A$2:$G$1000,3,0)</f>
        <v/>
      </c>
      <c r="I102">
        <f>VLOOKUP(D102,Клиенты!$A$2:$D$1000,2,0)</f>
        <v/>
      </c>
      <c r="J102">
        <f>IF(AND(H102="Kaptur",I102="Окраинов Л.Г.",YEAR(B102)=2020),E102,0)</f>
        <v/>
      </c>
    </row>
    <row r="103">
      <c r="A103" s="6" t="n">
        <v>102</v>
      </c>
      <c r="B103" s="13" t="n">
        <v>43856</v>
      </c>
      <c r="C103" s="6" t="inlineStr">
        <is>
          <t>A44</t>
        </is>
      </c>
      <c r="D103" s="6" t="n">
        <v>11</v>
      </c>
      <c r="E103" s="15" t="n">
        <v>250</v>
      </c>
      <c r="F103" s="5" t="inlineStr">
        <is>
          <t>нет</t>
        </is>
      </c>
      <c r="H103">
        <f>VLOOKUP(C103,Автомобили!$A$2:$G$1000,3,0)</f>
        <v/>
      </c>
      <c r="I103">
        <f>VLOOKUP(D103,Клиенты!$A$2:$D$1000,2,0)</f>
        <v/>
      </c>
      <c r="J103">
        <f>IF(AND(H103="Kaptur",I103="Окраинов Л.Г.",YEAR(B103)=2020),E103,0)</f>
        <v/>
      </c>
    </row>
    <row r="104">
      <c r="A104" s="6" t="n">
        <v>103</v>
      </c>
      <c r="B104" s="13" t="n">
        <v>43856</v>
      </c>
      <c r="C104" s="6" t="inlineStr">
        <is>
          <t>A59</t>
        </is>
      </c>
      <c r="D104" s="6" t="n">
        <v>1</v>
      </c>
      <c r="E104" s="15" t="n">
        <v>146</v>
      </c>
      <c r="F104" s="5" t="inlineStr">
        <is>
          <t>нет</t>
        </is>
      </c>
      <c r="H104">
        <f>VLOOKUP(C104,Автомобили!$A$2:$G$1000,3,0)</f>
        <v/>
      </c>
      <c r="I104">
        <f>VLOOKUP(D104,Клиенты!$A$2:$D$1000,2,0)</f>
        <v/>
      </c>
      <c r="J104">
        <f>IF(AND(H104="Kaptur",I104="Окраинов Л.Г.",YEAR(B104)=2020),E104,0)</f>
        <v/>
      </c>
    </row>
    <row r="105">
      <c r="A105" s="6" t="n">
        <v>104</v>
      </c>
      <c r="B105" s="13" t="n">
        <v>43856</v>
      </c>
      <c r="C105" s="6" t="inlineStr">
        <is>
          <t>A39</t>
        </is>
      </c>
      <c r="D105" s="6" t="n">
        <v>3</v>
      </c>
      <c r="E105" s="15" t="n">
        <v>450</v>
      </c>
      <c r="F105" s="5" t="inlineStr">
        <is>
          <t>к клиенту</t>
        </is>
      </c>
      <c r="H105">
        <f>VLOOKUP(C105,Автомобили!$A$2:$G$1000,3,0)</f>
        <v/>
      </c>
      <c r="I105">
        <f>VLOOKUP(D105,Клиенты!$A$2:$D$1000,2,0)</f>
        <v/>
      </c>
      <c r="J105">
        <f>IF(AND(H105="Kaptur",I105="Окраинов Л.Г.",YEAR(B105)=2020),E105,0)</f>
        <v/>
      </c>
    </row>
    <row r="106">
      <c r="A106" s="6" t="n">
        <v>105</v>
      </c>
      <c r="B106" s="13" t="n">
        <v>43857</v>
      </c>
      <c r="C106" s="6" t="inlineStr">
        <is>
          <t>A46</t>
        </is>
      </c>
      <c r="D106" s="6" t="n">
        <v>15</v>
      </c>
      <c r="E106" s="15" t="n">
        <v>404</v>
      </c>
      <c r="F106" s="5" t="inlineStr">
        <is>
          <t>нет</t>
        </is>
      </c>
      <c r="H106">
        <f>VLOOKUP(C106,Автомобили!$A$2:$G$1000,3,0)</f>
        <v/>
      </c>
      <c r="I106">
        <f>VLOOKUP(D106,Клиенты!$A$2:$D$1000,2,0)</f>
        <v/>
      </c>
      <c r="J106">
        <f>IF(AND(H106="Kaptur",I106="Окраинов Л.Г.",YEAR(B106)=2020),E106,0)</f>
        <v/>
      </c>
    </row>
    <row r="107">
      <c r="A107" s="6" t="n">
        <v>106</v>
      </c>
      <c r="B107" s="13" t="n">
        <v>43857</v>
      </c>
      <c r="C107" s="6" t="inlineStr">
        <is>
          <t>A40</t>
        </is>
      </c>
      <c r="D107" s="6" t="n">
        <v>8</v>
      </c>
      <c r="E107" s="15" t="n">
        <v>444</v>
      </c>
      <c r="F107" s="5" t="inlineStr">
        <is>
          <t>нет</t>
        </is>
      </c>
      <c r="H107">
        <f>VLOOKUP(C107,Автомобили!$A$2:$G$1000,3,0)</f>
        <v/>
      </c>
      <c r="I107">
        <f>VLOOKUP(D107,Клиенты!$A$2:$D$1000,2,0)</f>
        <v/>
      </c>
      <c r="J107">
        <f>IF(AND(H107="Kaptur",I107="Окраинов Л.Г.",YEAR(B107)=2020),E107,0)</f>
        <v/>
      </c>
    </row>
    <row r="108">
      <c r="A108" s="6" t="n">
        <v>107</v>
      </c>
      <c r="B108" s="13" t="n">
        <v>43857</v>
      </c>
      <c r="C108" s="6" t="inlineStr">
        <is>
          <t>A31</t>
        </is>
      </c>
      <c r="D108" s="6" t="n">
        <v>4</v>
      </c>
      <c r="E108" s="15" t="n">
        <v>344</v>
      </c>
      <c r="F108" s="5" t="inlineStr">
        <is>
          <t>нет</t>
        </is>
      </c>
      <c r="H108">
        <f>VLOOKUP(C108,Автомобили!$A$2:$G$1000,3,0)</f>
        <v/>
      </c>
      <c r="I108">
        <f>VLOOKUP(D108,Клиенты!$A$2:$D$1000,2,0)</f>
        <v/>
      </c>
      <c r="J108">
        <f>IF(AND(H108="Kaptur",I108="Окраинов Л.Г.",YEAR(B108)=2020),E108,0)</f>
        <v/>
      </c>
    </row>
    <row r="109">
      <c r="A109" s="6" t="n">
        <v>108</v>
      </c>
      <c r="B109" s="13" t="n">
        <v>43857</v>
      </c>
      <c r="C109" s="6" t="inlineStr">
        <is>
          <t>A56</t>
        </is>
      </c>
      <c r="D109" s="6" t="n">
        <v>3</v>
      </c>
      <c r="E109" s="15" t="n">
        <v>424</v>
      </c>
      <c r="F109" s="5" t="inlineStr">
        <is>
          <t>нет</t>
        </is>
      </c>
      <c r="H109">
        <f>VLOOKUP(C109,Автомобили!$A$2:$G$1000,3,0)</f>
        <v/>
      </c>
      <c r="I109">
        <f>VLOOKUP(D109,Клиенты!$A$2:$D$1000,2,0)</f>
        <v/>
      </c>
      <c r="J109">
        <f>IF(AND(H109="Kaptur",I109="Окраинов Л.Г.",YEAR(B109)=2020),E109,0)</f>
        <v/>
      </c>
    </row>
    <row r="110">
      <c r="A110" s="6" t="n">
        <v>109</v>
      </c>
      <c r="B110" s="13" t="n">
        <v>43858</v>
      </c>
      <c r="C110" s="6" t="inlineStr">
        <is>
          <t>A15</t>
        </is>
      </c>
      <c r="D110" s="6" t="n">
        <v>13</v>
      </c>
      <c r="E110" s="15" t="n">
        <v>371</v>
      </c>
      <c r="F110" s="5" t="inlineStr">
        <is>
          <t>нет</t>
        </is>
      </c>
      <c r="H110">
        <f>VLOOKUP(C110,Автомобили!$A$2:$G$1000,3,0)</f>
        <v/>
      </c>
      <c r="I110">
        <f>VLOOKUP(D110,Клиенты!$A$2:$D$1000,2,0)</f>
        <v/>
      </c>
      <c r="J110">
        <f>IF(AND(H110="Kaptur",I110="Окраинов Л.Г.",YEAR(B110)=2020),E110,0)</f>
        <v/>
      </c>
    </row>
    <row r="111">
      <c r="A111" s="6" t="n">
        <v>110</v>
      </c>
      <c r="B111" s="13" t="n">
        <v>43858</v>
      </c>
      <c r="C111" s="6" t="inlineStr">
        <is>
          <t>A45</t>
        </is>
      </c>
      <c r="D111" s="6" t="n">
        <v>4</v>
      </c>
      <c r="E111" s="15" t="n">
        <v>193</v>
      </c>
      <c r="F111" s="5" t="inlineStr">
        <is>
          <t>нет</t>
        </is>
      </c>
      <c r="H111">
        <f>VLOOKUP(C111,Автомобили!$A$2:$G$1000,3,0)</f>
        <v/>
      </c>
      <c r="I111">
        <f>VLOOKUP(D111,Клиенты!$A$2:$D$1000,2,0)</f>
        <v/>
      </c>
      <c r="J111">
        <f>IF(AND(H111="Kaptur",I111="Окраинов Л.Г.",YEAR(B111)=2020),E111,0)</f>
        <v/>
      </c>
    </row>
    <row r="112">
      <c r="A112" s="6" t="n">
        <v>111</v>
      </c>
      <c r="B112" s="13" t="n">
        <v>43858</v>
      </c>
      <c r="C112" s="6" t="inlineStr">
        <is>
          <t>A58</t>
        </is>
      </c>
      <c r="D112" s="6" t="n">
        <v>15</v>
      </c>
      <c r="E112" s="15" t="n">
        <v>259</v>
      </c>
      <c r="F112" s="5" t="inlineStr">
        <is>
          <t>нет</t>
        </is>
      </c>
      <c r="H112">
        <f>VLOOKUP(C112,Автомобили!$A$2:$G$1000,3,0)</f>
        <v/>
      </c>
      <c r="I112">
        <f>VLOOKUP(D112,Клиенты!$A$2:$D$1000,2,0)</f>
        <v/>
      </c>
      <c r="J112">
        <f>IF(AND(H112="Kaptur",I112="Окраинов Л.Г.",YEAR(B112)=2020),E112,0)</f>
        <v/>
      </c>
    </row>
    <row r="113">
      <c r="A113" s="6" t="n">
        <v>112</v>
      </c>
      <c r="B113" s="13" t="n">
        <v>43858</v>
      </c>
      <c r="C113" s="6" t="inlineStr">
        <is>
          <t>A7</t>
        </is>
      </c>
      <c r="D113" s="6" t="n">
        <v>12</v>
      </c>
      <c r="E113" s="15" t="n">
        <v>308</v>
      </c>
      <c r="F113" s="5" t="inlineStr">
        <is>
          <t>нет</t>
        </is>
      </c>
      <c r="H113">
        <f>VLOOKUP(C113,Автомобили!$A$2:$G$1000,3,0)</f>
        <v/>
      </c>
      <c r="I113">
        <f>VLOOKUP(D113,Клиенты!$A$2:$D$1000,2,0)</f>
        <v/>
      </c>
      <c r="J113">
        <f>IF(AND(H113="Kaptur",I113="Окраинов Л.Г.",YEAR(B113)=2020),E113,0)</f>
        <v/>
      </c>
    </row>
    <row r="114">
      <c r="A114" s="6" t="n">
        <v>113</v>
      </c>
      <c r="B114" s="13" t="n">
        <v>43859</v>
      </c>
      <c r="C114" s="6" t="inlineStr">
        <is>
          <t>A7</t>
        </is>
      </c>
      <c r="D114" s="6" t="n">
        <v>5</v>
      </c>
      <c r="E114" s="15" t="n">
        <v>296</v>
      </c>
      <c r="F114" s="5" t="inlineStr">
        <is>
          <t>нет</t>
        </is>
      </c>
      <c r="H114">
        <f>VLOOKUP(C114,Автомобили!$A$2:$G$1000,3,0)</f>
        <v/>
      </c>
      <c r="I114">
        <f>VLOOKUP(D114,Клиенты!$A$2:$D$1000,2,0)</f>
        <v/>
      </c>
      <c r="J114">
        <f>IF(AND(H114="Kaptur",I114="Окраинов Л.Г.",YEAR(B114)=2020),E114,0)</f>
        <v/>
      </c>
    </row>
    <row r="115">
      <c r="A115" s="6" t="n">
        <v>114</v>
      </c>
      <c r="B115" s="13" t="n">
        <v>43859</v>
      </c>
      <c r="C115" s="6" t="inlineStr">
        <is>
          <t>A48</t>
        </is>
      </c>
      <c r="D115" s="6" t="n">
        <v>14</v>
      </c>
      <c r="E115" s="15" t="n">
        <v>314</v>
      </c>
      <c r="F115" s="5" t="inlineStr">
        <is>
          <t>нет</t>
        </is>
      </c>
      <c r="H115">
        <f>VLOOKUP(C115,Автомобили!$A$2:$G$1000,3,0)</f>
        <v/>
      </c>
      <c r="I115">
        <f>VLOOKUP(D115,Клиенты!$A$2:$D$1000,2,0)</f>
        <v/>
      </c>
      <c r="J115">
        <f>IF(AND(H115="Kaptur",I115="Окраинов Л.Г.",YEAR(B115)=2020),E115,0)</f>
        <v/>
      </c>
    </row>
    <row r="116">
      <c r="A116" s="6" t="n">
        <v>115</v>
      </c>
      <c r="B116" s="13" t="n">
        <v>43859</v>
      </c>
      <c r="C116" s="6" t="inlineStr">
        <is>
          <t>A17</t>
        </is>
      </c>
      <c r="D116" s="6" t="n">
        <v>2</v>
      </c>
      <c r="E116" s="15" t="n">
        <v>157</v>
      </c>
      <c r="F116" s="5" t="inlineStr">
        <is>
          <t>нет</t>
        </is>
      </c>
      <c r="H116">
        <f>VLOOKUP(C116,Автомобили!$A$2:$G$1000,3,0)</f>
        <v/>
      </c>
      <c r="I116">
        <f>VLOOKUP(D116,Клиенты!$A$2:$D$1000,2,0)</f>
        <v/>
      </c>
      <c r="J116">
        <f>IF(AND(H116="Kaptur",I116="Окраинов Л.Г.",YEAR(B116)=2020),E116,0)</f>
        <v/>
      </c>
    </row>
    <row r="117">
      <c r="A117" s="6" t="n">
        <v>116</v>
      </c>
      <c r="B117" s="13" t="n">
        <v>43859</v>
      </c>
      <c r="C117" s="6" t="inlineStr">
        <is>
          <t>A54</t>
        </is>
      </c>
      <c r="D117" s="6" t="n">
        <v>1</v>
      </c>
      <c r="E117" s="15" t="n">
        <v>445</v>
      </c>
      <c r="F117" s="5" t="inlineStr">
        <is>
          <t>нет</t>
        </is>
      </c>
      <c r="H117">
        <f>VLOOKUP(C117,Автомобили!$A$2:$G$1000,3,0)</f>
        <v/>
      </c>
      <c r="I117">
        <f>VLOOKUP(D117,Клиенты!$A$2:$D$1000,2,0)</f>
        <v/>
      </c>
      <c r="J117">
        <f>IF(AND(H117="Kaptur",I117="Окраинов Л.Г.",YEAR(B117)=2020),E117,0)</f>
        <v/>
      </c>
    </row>
    <row r="118">
      <c r="A118" s="6" t="n">
        <v>117</v>
      </c>
      <c r="B118" s="13" t="n">
        <v>43860</v>
      </c>
      <c r="C118" s="6" t="inlineStr">
        <is>
          <t>A65</t>
        </is>
      </c>
      <c r="D118" s="6" t="n">
        <v>3</v>
      </c>
      <c r="E118" s="15" t="n">
        <v>379</v>
      </c>
      <c r="F118" s="5" t="inlineStr">
        <is>
          <t>нет</t>
        </is>
      </c>
      <c r="H118">
        <f>VLOOKUP(C118,Автомобили!$A$2:$G$1000,3,0)</f>
        <v/>
      </c>
      <c r="I118">
        <f>VLOOKUP(D118,Клиенты!$A$2:$D$1000,2,0)</f>
        <v/>
      </c>
      <c r="J118">
        <f>IF(AND(H118="Kaptur",I118="Окраинов Л.Г.",YEAR(B118)=2020),E118,0)</f>
        <v/>
      </c>
    </row>
    <row r="119">
      <c r="A119" s="6" t="n">
        <v>118</v>
      </c>
      <c r="B119" s="13" t="n">
        <v>43860</v>
      </c>
      <c r="C119" s="6" t="inlineStr">
        <is>
          <t>A36</t>
        </is>
      </c>
      <c r="D119" s="6" t="n">
        <v>2</v>
      </c>
      <c r="E119" s="15" t="n">
        <v>256</v>
      </c>
      <c r="F119" s="5" t="inlineStr">
        <is>
          <t>нет</t>
        </is>
      </c>
      <c r="H119">
        <f>VLOOKUP(C119,Автомобили!$A$2:$G$1000,3,0)</f>
        <v/>
      </c>
      <c r="I119">
        <f>VLOOKUP(D119,Клиенты!$A$2:$D$1000,2,0)</f>
        <v/>
      </c>
      <c r="J119">
        <f>IF(AND(H119="Kaptur",I119="Окраинов Л.Г.",YEAR(B119)=2020),E119,0)</f>
        <v/>
      </c>
    </row>
    <row r="120">
      <c r="A120" s="6" t="n">
        <v>119</v>
      </c>
      <c r="B120" s="13" t="n">
        <v>43860</v>
      </c>
      <c r="C120" s="6" t="inlineStr">
        <is>
          <t>A43</t>
        </is>
      </c>
      <c r="D120" s="6" t="n">
        <v>11</v>
      </c>
      <c r="E120" s="15" t="n">
        <v>362</v>
      </c>
      <c r="F120" s="5" t="inlineStr">
        <is>
          <t>нет</t>
        </is>
      </c>
      <c r="H120">
        <f>VLOOKUP(C120,Автомобили!$A$2:$G$1000,3,0)</f>
        <v/>
      </c>
      <c r="I120">
        <f>VLOOKUP(D120,Клиенты!$A$2:$D$1000,2,0)</f>
        <v/>
      </c>
      <c r="J120">
        <f>IF(AND(H120="Kaptur",I120="Окраинов Л.Г.",YEAR(B120)=2020),E120,0)</f>
        <v/>
      </c>
    </row>
    <row r="121">
      <c r="A121" s="6" t="n">
        <v>120</v>
      </c>
      <c r="B121" s="13" t="n">
        <v>43860</v>
      </c>
      <c r="C121" s="6" t="inlineStr">
        <is>
          <t>A47</t>
        </is>
      </c>
      <c r="D121" s="6" t="n">
        <v>5</v>
      </c>
      <c r="E121" s="15" t="n">
        <v>249</v>
      </c>
      <c r="F121" s="5" t="inlineStr">
        <is>
          <t>нет</t>
        </is>
      </c>
      <c r="H121">
        <f>VLOOKUP(C121,Автомобили!$A$2:$G$1000,3,0)</f>
        <v/>
      </c>
      <c r="I121">
        <f>VLOOKUP(D121,Клиенты!$A$2:$D$1000,2,0)</f>
        <v/>
      </c>
      <c r="J121">
        <f>IF(AND(H121="Kaptur",I121="Окраинов Л.Г.",YEAR(B121)=2020),E121,0)</f>
        <v/>
      </c>
    </row>
    <row r="122">
      <c r="A122" s="6" t="n">
        <v>121</v>
      </c>
      <c r="B122" s="13" t="n">
        <v>43861</v>
      </c>
      <c r="C122" s="6" t="inlineStr">
        <is>
          <t>A32</t>
        </is>
      </c>
      <c r="D122" s="6" t="n">
        <v>11</v>
      </c>
      <c r="E122" s="15" t="n">
        <v>389</v>
      </c>
      <c r="F122" s="5" t="inlineStr">
        <is>
          <t>нет</t>
        </is>
      </c>
      <c r="H122">
        <f>VLOOKUP(C122,Автомобили!$A$2:$G$1000,3,0)</f>
        <v/>
      </c>
      <c r="I122">
        <f>VLOOKUP(D122,Клиенты!$A$2:$D$1000,2,0)</f>
        <v/>
      </c>
      <c r="J122">
        <f>IF(AND(H122="Kaptur",I122="Окраинов Л.Г.",YEAR(B122)=2020),E122,0)</f>
        <v/>
      </c>
    </row>
    <row r="123">
      <c r="A123" s="6" t="n">
        <v>122</v>
      </c>
      <c r="B123" s="13" t="n">
        <v>43861</v>
      </c>
      <c r="C123" s="6" t="inlineStr">
        <is>
          <t>A64</t>
        </is>
      </c>
      <c r="D123" s="6" t="n">
        <v>14</v>
      </c>
      <c r="E123" s="15" t="n">
        <v>374</v>
      </c>
      <c r="F123" s="5" t="inlineStr">
        <is>
          <t>нет</t>
        </is>
      </c>
      <c r="H123">
        <f>VLOOKUP(C123,Автомобили!$A$2:$G$1000,3,0)</f>
        <v/>
      </c>
      <c r="I123">
        <f>VLOOKUP(D123,Клиенты!$A$2:$D$1000,2,0)</f>
        <v/>
      </c>
      <c r="J123">
        <f>IF(AND(H123="Kaptur",I123="Окраинов Л.Г.",YEAR(B123)=2020),E123,0)</f>
        <v/>
      </c>
    </row>
    <row r="124">
      <c r="A124" s="6" t="n">
        <v>123</v>
      </c>
      <c r="B124" s="13" t="n">
        <v>43861</v>
      </c>
      <c r="C124" s="6" t="inlineStr">
        <is>
          <t>A39</t>
        </is>
      </c>
      <c r="D124" s="6" t="n">
        <v>4</v>
      </c>
      <c r="E124" s="15" t="n">
        <v>140</v>
      </c>
      <c r="F124" s="5" t="inlineStr">
        <is>
          <t>нет</t>
        </is>
      </c>
      <c r="H124">
        <f>VLOOKUP(C124,Автомобили!$A$2:$G$1000,3,0)</f>
        <v/>
      </c>
      <c r="I124">
        <f>VLOOKUP(D124,Клиенты!$A$2:$D$1000,2,0)</f>
        <v/>
      </c>
      <c r="J124">
        <f>IF(AND(H124="Kaptur",I124="Окраинов Л.Г.",YEAR(B124)=2020),E124,0)</f>
        <v/>
      </c>
    </row>
    <row r="125">
      <c r="A125" s="6" t="n">
        <v>124</v>
      </c>
      <c r="B125" s="13" t="n">
        <v>43861</v>
      </c>
      <c r="C125" s="6" t="inlineStr">
        <is>
          <t>A16</t>
        </is>
      </c>
      <c r="D125" s="6" t="n">
        <v>15</v>
      </c>
      <c r="E125" s="15" t="n">
        <v>366</v>
      </c>
      <c r="F125" s="5" t="inlineStr">
        <is>
          <t>нет</t>
        </is>
      </c>
      <c r="H125">
        <f>VLOOKUP(C125,Автомобили!$A$2:$G$1000,3,0)</f>
        <v/>
      </c>
      <c r="I125">
        <f>VLOOKUP(D125,Клиенты!$A$2:$D$1000,2,0)</f>
        <v/>
      </c>
      <c r="J125">
        <f>IF(AND(H125="Kaptur",I125="Окраинов Л.Г.",YEAR(B125)=2020),E125,0)</f>
        <v/>
      </c>
    </row>
    <row r="126">
      <c r="A126" s="6" t="n">
        <v>125</v>
      </c>
      <c r="B126" s="13" t="n">
        <v>43862</v>
      </c>
      <c r="C126" s="6" t="inlineStr">
        <is>
          <t>A53</t>
        </is>
      </c>
      <c r="D126" s="6" t="n">
        <v>7</v>
      </c>
      <c r="E126" s="15" t="n">
        <v>275</v>
      </c>
      <c r="F126" s="5" t="inlineStr">
        <is>
          <t>нет</t>
        </is>
      </c>
      <c r="H126">
        <f>VLOOKUP(C126,Автомобили!$A$2:$G$1000,3,0)</f>
        <v/>
      </c>
      <c r="I126">
        <f>VLOOKUP(D126,Клиенты!$A$2:$D$1000,2,0)</f>
        <v/>
      </c>
      <c r="J126">
        <f>IF(AND(H126="Kaptur",I126="Окраинов Л.Г.",YEAR(B126)=2020),E126,0)</f>
        <v/>
      </c>
    </row>
    <row r="127">
      <c r="A127" s="6" t="n">
        <v>126</v>
      </c>
      <c r="B127" s="13" t="n">
        <v>43862</v>
      </c>
      <c r="C127" s="6" t="inlineStr">
        <is>
          <t>A65</t>
        </is>
      </c>
      <c r="D127" s="6" t="n">
        <v>10</v>
      </c>
      <c r="E127" s="15" t="n">
        <v>406</v>
      </c>
      <c r="F127" s="5" t="inlineStr">
        <is>
          <t>нет</t>
        </is>
      </c>
      <c r="H127">
        <f>VLOOKUP(C127,Автомобили!$A$2:$G$1000,3,0)</f>
        <v/>
      </c>
      <c r="I127">
        <f>VLOOKUP(D127,Клиенты!$A$2:$D$1000,2,0)</f>
        <v/>
      </c>
      <c r="J127">
        <f>IF(AND(H127="Kaptur",I127="Окраинов Л.Г.",YEAR(B127)=2020),E127,0)</f>
        <v/>
      </c>
    </row>
    <row r="128">
      <c r="A128" s="6" t="n">
        <v>127</v>
      </c>
      <c r="B128" s="13" t="n">
        <v>43862</v>
      </c>
      <c r="C128" s="6" t="inlineStr">
        <is>
          <t>A14</t>
        </is>
      </c>
      <c r="D128" s="6" t="n">
        <v>4</v>
      </c>
      <c r="E128" s="15" t="n">
        <v>299</v>
      </c>
      <c r="F128" s="5" t="inlineStr">
        <is>
          <t>нет</t>
        </is>
      </c>
      <c r="H128">
        <f>VLOOKUP(C128,Автомобили!$A$2:$G$1000,3,0)</f>
        <v/>
      </c>
      <c r="I128">
        <f>VLOOKUP(D128,Клиенты!$A$2:$D$1000,2,0)</f>
        <v/>
      </c>
      <c r="J128">
        <f>IF(AND(H128="Kaptur",I128="Окраинов Л.Г.",YEAR(B128)=2020),E128,0)</f>
        <v/>
      </c>
    </row>
    <row r="129">
      <c r="A129" s="6" t="n">
        <v>128</v>
      </c>
      <c r="B129" s="13" t="n">
        <v>43862</v>
      </c>
      <c r="C129" s="6" t="inlineStr">
        <is>
          <t>A51</t>
        </is>
      </c>
      <c r="D129" s="6" t="n">
        <v>13</v>
      </c>
      <c r="E129" s="15" t="n">
        <v>357</v>
      </c>
      <c r="F129" s="5" t="inlineStr">
        <is>
          <t>нет</t>
        </is>
      </c>
      <c r="H129">
        <f>VLOOKUP(C129,Автомобили!$A$2:$G$1000,3,0)</f>
        <v/>
      </c>
      <c r="I129">
        <f>VLOOKUP(D129,Клиенты!$A$2:$D$1000,2,0)</f>
        <v/>
      </c>
      <c r="J129">
        <f>IF(AND(H129="Kaptur",I129="Окраинов Л.Г.",YEAR(B129)=2020),E129,0)</f>
        <v/>
      </c>
    </row>
    <row r="130">
      <c r="A130" s="6" t="n">
        <v>129</v>
      </c>
      <c r="B130" s="13" t="n">
        <v>43863</v>
      </c>
      <c r="C130" s="6" t="inlineStr">
        <is>
          <t>A58</t>
        </is>
      </c>
      <c r="D130" s="6" t="n">
        <v>7</v>
      </c>
      <c r="E130" s="15" t="n">
        <v>164</v>
      </c>
      <c r="F130" s="5" t="inlineStr">
        <is>
          <t>нет</t>
        </is>
      </c>
      <c r="H130">
        <f>VLOOKUP(C130,Автомобили!$A$2:$G$1000,3,0)</f>
        <v/>
      </c>
      <c r="I130">
        <f>VLOOKUP(D130,Клиенты!$A$2:$D$1000,2,0)</f>
        <v/>
      </c>
      <c r="J130">
        <f>IF(AND(H130="Kaptur",I130="Окраинов Л.Г.",YEAR(B130)=2020),E130,0)</f>
        <v/>
      </c>
    </row>
    <row r="131">
      <c r="A131" s="6" t="n">
        <v>130</v>
      </c>
      <c r="B131" s="13" t="n">
        <v>43863</v>
      </c>
      <c r="C131" s="6" t="inlineStr">
        <is>
          <t>A11</t>
        </is>
      </c>
      <c r="D131" s="6" t="n">
        <v>1</v>
      </c>
      <c r="E131" s="15" t="n">
        <v>276</v>
      </c>
      <c r="F131" s="5" t="inlineStr">
        <is>
          <t>нет</t>
        </is>
      </c>
      <c r="H131">
        <f>VLOOKUP(C131,Автомобили!$A$2:$G$1000,3,0)</f>
        <v/>
      </c>
      <c r="I131">
        <f>VLOOKUP(D131,Клиенты!$A$2:$D$1000,2,0)</f>
        <v/>
      </c>
      <c r="J131">
        <f>IF(AND(H131="Kaptur",I131="Окраинов Л.Г.",YEAR(B131)=2020),E131,0)</f>
        <v/>
      </c>
    </row>
    <row r="132">
      <c r="A132" s="6" t="n">
        <v>131</v>
      </c>
      <c r="B132" s="13" t="n">
        <v>43863</v>
      </c>
      <c r="C132" s="6" t="inlineStr">
        <is>
          <t>A63</t>
        </is>
      </c>
      <c r="D132" s="6" t="n">
        <v>2</v>
      </c>
      <c r="E132" s="15" t="n">
        <v>298</v>
      </c>
      <c r="F132" s="5" t="inlineStr">
        <is>
          <t>нет</t>
        </is>
      </c>
      <c r="H132">
        <f>VLOOKUP(C132,Автомобили!$A$2:$G$1000,3,0)</f>
        <v/>
      </c>
      <c r="I132">
        <f>VLOOKUP(D132,Клиенты!$A$2:$D$1000,2,0)</f>
        <v/>
      </c>
      <c r="J132">
        <f>IF(AND(H132="Kaptur",I132="Окраинов Л.Г.",YEAR(B132)=2020),E132,0)</f>
        <v/>
      </c>
    </row>
    <row r="133">
      <c r="A133" s="6" t="n">
        <v>132</v>
      </c>
      <c r="B133" s="13" t="n">
        <v>43863</v>
      </c>
      <c r="C133" s="6" t="inlineStr">
        <is>
          <t>A59</t>
        </is>
      </c>
      <c r="D133" s="6" t="n">
        <v>14</v>
      </c>
      <c r="E133" s="15" t="n">
        <v>85</v>
      </c>
      <c r="F133" s="5" t="inlineStr">
        <is>
          <t>нет</t>
        </is>
      </c>
      <c r="H133">
        <f>VLOOKUP(C133,Автомобили!$A$2:$G$1000,3,0)</f>
        <v/>
      </c>
      <c r="I133">
        <f>VLOOKUP(D133,Клиенты!$A$2:$D$1000,2,0)</f>
        <v/>
      </c>
      <c r="J133">
        <f>IF(AND(H133="Kaptur",I133="Окраинов Л.Г.",YEAR(B133)=2020),E133,0)</f>
        <v/>
      </c>
    </row>
    <row r="134">
      <c r="A134" s="6" t="n">
        <v>133</v>
      </c>
      <c r="B134" s="13" t="n">
        <v>43864</v>
      </c>
      <c r="C134" s="6" t="inlineStr">
        <is>
          <t>A43</t>
        </is>
      </c>
      <c r="D134" s="6" t="n">
        <v>13</v>
      </c>
      <c r="E134" s="15" t="n">
        <v>277</v>
      </c>
      <c r="F134" s="5" t="inlineStr">
        <is>
          <t>нет</t>
        </is>
      </c>
      <c r="H134">
        <f>VLOOKUP(C134,Автомобили!$A$2:$G$1000,3,0)</f>
        <v/>
      </c>
      <c r="I134">
        <f>VLOOKUP(D134,Клиенты!$A$2:$D$1000,2,0)</f>
        <v/>
      </c>
      <c r="J134">
        <f>IF(AND(H134="Kaptur",I134="Окраинов Л.Г.",YEAR(B134)=2020),E134,0)</f>
        <v/>
      </c>
    </row>
    <row r="135">
      <c r="A135" s="6" t="n">
        <v>134</v>
      </c>
      <c r="B135" s="13" t="n">
        <v>43864</v>
      </c>
      <c r="C135" s="6" t="inlineStr">
        <is>
          <t>A51</t>
        </is>
      </c>
      <c r="D135" s="6" t="n">
        <v>3</v>
      </c>
      <c r="E135" s="15" t="n">
        <v>313</v>
      </c>
      <c r="F135" s="5" t="inlineStr">
        <is>
          <t>нет</t>
        </is>
      </c>
      <c r="H135">
        <f>VLOOKUP(C135,Автомобили!$A$2:$G$1000,3,0)</f>
        <v/>
      </c>
      <c r="I135">
        <f>VLOOKUP(D135,Клиенты!$A$2:$D$1000,2,0)</f>
        <v/>
      </c>
      <c r="J135">
        <f>IF(AND(H135="Kaptur",I135="Окраинов Л.Г.",YEAR(B135)=2020),E135,0)</f>
        <v/>
      </c>
    </row>
    <row r="136">
      <c r="A136" s="6" t="n">
        <v>135</v>
      </c>
      <c r="B136" s="13" t="n">
        <v>43864</v>
      </c>
      <c r="C136" s="6" t="inlineStr">
        <is>
          <t>A40</t>
        </is>
      </c>
      <c r="D136" s="6" t="n">
        <v>9</v>
      </c>
      <c r="E136" s="15" t="n">
        <v>119</v>
      </c>
      <c r="F136" s="5" t="inlineStr">
        <is>
          <t>нет</t>
        </is>
      </c>
      <c r="H136">
        <f>VLOOKUP(C136,Автомобили!$A$2:$G$1000,3,0)</f>
        <v/>
      </c>
      <c r="I136">
        <f>VLOOKUP(D136,Клиенты!$A$2:$D$1000,2,0)</f>
        <v/>
      </c>
      <c r="J136">
        <f>IF(AND(H136="Kaptur",I136="Окраинов Л.Г.",YEAR(B136)=2020),E136,0)</f>
        <v/>
      </c>
    </row>
    <row r="137">
      <c r="A137" s="6" t="n">
        <v>136</v>
      </c>
      <c r="B137" s="13" t="n">
        <v>43864</v>
      </c>
      <c r="C137" s="6" t="inlineStr">
        <is>
          <t>A54</t>
        </is>
      </c>
      <c r="D137" s="6" t="n">
        <v>6</v>
      </c>
      <c r="E137" s="15" t="n">
        <v>121</v>
      </c>
      <c r="F137" s="5" t="inlineStr">
        <is>
          <t>нет</t>
        </is>
      </c>
      <c r="H137">
        <f>VLOOKUP(C137,Автомобили!$A$2:$G$1000,3,0)</f>
        <v/>
      </c>
      <c r="I137">
        <f>VLOOKUP(D137,Клиенты!$A$2:$D$1000,2,0)</f>
        <v/>
      </c>
      <c r="J137">
        <f>IF(AND(H137="Kaptur",I137="Окраинов Л.Г.",YEAR(B137)=2020),E137,0)</f>
        <v/>
      </c>
    </row>
    <row r="138">
      <c r="A138" s="6" t="n">
        <v>137</v>
      </c>
      <c r="B138" s="13" t="n">
        <v>43865</v>
      </c>
      <c r="C138" s="6" t="inlineStr">
        <is>
          <t>A64</t>
        </is>
      </c>
      <c r="D138" s="6" t="n">
        <v>6</v>
      </c>
      <c r="E138" s="15" t="n">
        <v>96</v>
      </c>
      <c r="F138" s="5" t="inlineStr">
        <is>
          <t>нет</t>
        </is>
      </c>
      <c r="H138">
        <f>VLOOKUP(C138,Автомобили!$A$2:$G$1000,3,0)</f>
        <v/>
      </c>
      <c r="I138">
        <f>VLOOKUP(D138,Клиенты!$A$2:$D$1000,2,0)</f>
        <v/>
      </c>
      <c r="J138">
        <f>IF(AND(H138="Kaptur",I138="Окраинов Л.Г.",YEAR(B138)=2020),E138,0)</f>
        <v/>
      </c>
    </row>
    <row r="139">
      <c r="A139" s="6" t="n">
        <v>138</v>
      </c>
      <c r="B139" s="13" t="n">
        <v>43865</v>
      </c>
      <c r="C139" s="6" t="inlineStr">
        <is>
          <t>A8</t>
        </is>
      </c>
      <c r="D139" s="6" t="n">
        <v>1</v>
      </c>
      <c r="E139" s="15" t="n">
        <v>315</v>
      </c>
      <c r="F139" s="5" t="inlineStr">
        <is>
          <t>нет</t>
        </is>
      </c>
      <c r="H139">
        <f>VLOOKUP(C139,Автомобили!$A$2:$G$1000,3,0)</f>
        <v/>
      </c>
      <c r="I139">
        <f>VLOOKUP(D139,Клиенты!$A$2:$D$1000,2,0)</f>
        <v/>
      </c>
      <c r="J139">
        <f>IF(AND(H139="Kaptur",I139="Окраинов Л.Г.",YEAR(B139)=2020),E139,0)</f>
        <v/>
      </c>
    </row>
    <row r="140">
      <c r="A140" s="6" t="n">
        <v>139</v>
      </c>
      <c r="B140" s="13" t="n">
        <v>43865</v>
      </c>
      <c r="C140" s="6" t="inlineStr">
        <is>
          <t>A15</t>
        </is>
      </c>
      <c r="D140" s="6" t="n">
        <v>1</v>
      </c>
      <c r="E140" s="15" t="n">
        <v>112</v>
      </c>
      <c r="F140" s="5" t="inlineStr">
        <is>
          <t>нет</t>
        </is>
      </c>
      <c r="H140">
        <f>VLOOKUP(C140,Автомобили!$A$2:$G$1000,3,0)</f>
        <v/>
      </c>
      <c r="I140">
        <f>VLOOKUP(D140,Клиенты!$A$2:$D$1000,2,0)</f>
        <v/>
      </c>
      <c r="J140">
        <f>IF(AND(H140="Kaptur",I140="Окраинов Л.Г.",YEAR(B140)=2020),E140,0)</f>
        <v/>
      </c>
    </row>
    <row r="141">
      <c r="A141" s="6" t="n">
        <v>140</v>
      </c>
      <c r="B141" s="13" t="n">
        <v>43865</v>
      </c>
      <c r="C141" s="6" t="inlineStr">
        <is>
          <t>A2</t>
        </is>
      </c>
      <c r="D141" s="6" t="n">
        <v>3</v>
      </c>
      <c r="E141" s="15" t="n">
        <v>154</v>
      </c>
      <c r="F141" s="5" t="inlineStr">
        <is>
          <t>нет</t>
        </is>
      </c>
      <c r="H141">
        <f>VLOOKUP(C141,Автомобили!$A$2:$G$1000,3,0)</f>
        <v/>
      </c>
      <c r="I141">
        <f>VLOOKUP(D141,Клиенты!$A$2:$D$1000,2,0)</f>
        <v/>
      </c>
      <c r="J141">
        <f>IF(AND(H141="Kaptur",I141="Окраинов Л.Г.",YEAR(B141)=2020),E141,0)</f>
        <v/>
      </c>
    </row>
    <row r="142">
      <c r="A142" s="6" t="n">
        <v>141</v>
      </c>
      <c r="B142" s="13" t="n">
        <v>43866</v>
      </c>
      <c r="C142" s="6" t="inlineStr">
        <is>
          <t>A41</t>
        </is>
      </c>
      <c r="D142" s="6" t="n">
        <v>13</v>
      </c>
      <c r="E142" s="15" t="n">
        <v>207</v>
      </c>
      <c r="F142" s="5" t="inlineStr">
        <is>
          <t>нет</t>
        </is>
      </c>
      <c r="H142">
        <f>VLOOKUP(C142,Автомобили!$A$2:$G$1000,3,0)</f>
        <v/>
      </c>
      <c r="I142">
        <f>VLOOKUP(D142,Клиенты!$A$2:$D$1000,2,0)</f>
        <v/>
      </c>
      <c r="J142">
        <f>IF(AND(H142="Kaptur",I142="Окраинов Л.Г.",YEAR(B142)=2020),E142,0)</f>
        <v/>
      </c>
    </row>
    <row r="143">
      <c r="A143" s="6" t="n">
        <v>142</v>
      </c>
      <c r="B143" s="13" t="n">
        <v>43866</v>
      </c>
      <c r="C143" s="6" t="inlineStr">
        <is>
          <t>A54</t>
        </is>
      </c>
      <c r="D143" s="6" t="n">
        <v>6</v>
      </c>
      <c r="E143" s="15" t="n">
        <v>231</v>
      </c>
      <c r="F143" s="5" t="inlineStr">
        <is>
          <t>нет</t>
        </is>
      </c>
      <c r="H143">
        <f>VLOOKUP(C143,Автомобили!$A$2:$G$1000,3,0)</f>
        <v/>
      </c>
      <c r="I143">
        <f>VLOOKUP(D143,Клиенты!$A$2:$D$1000,2,0)</f>
        <v/>
      </c>
      <c r="J143">
        <f>IF(AND(H143="Kaptur",I143="Окраинов Л.Г.",YEAR(B143)=2020),E143,0)</f>
        <v/>
      </c>
    </row>
    <row r="144">
      <c r="A144" s="6" t="n">
        <v>143</v>
      </c>
      <c r="B144" s="13" t="n">
        <v>43866</v>
      </c>
      <c r="C144" s="6" t="inlineStr">
        <is>
          <t>A39</t>
        </is>
      </c>
      <c r="D144" s="6" t="n">
        <v>8</v>
      </c>
      <c r="E144" s="15" t="n">
        <v>235</v>
      </c>
      <c r="F144" s="5" t="inlineStr">
        <is>
          <t>нет</t>
        </is>
      </c>
      <c r="H144">
        <f>VLOOKUP(C144,Автомобили!$A$2:$G$1000,3,0)</f>
        <v/>
      </c>
      <c r="I144">
        <f>VLOOKUP(D144,Клиенты!$A$2:$D$1000,2,0)</f>
        <v/>
      </c>
      <c r="J144">
        <f>IF(AND(H144="Kaptur",I144="Окраинов Л.Г.",YEAR(B144)=2020),E144,0)</f>
        <v/>
      </c>
    </row>
    <row r="145">
      <c r="A145" s="6" t="n">
        <v>144</v>
      </c>
      <c r="B145" s="13" t="n">
        <v>43866</v>
      </c>
      <c r="C145" s="6" t="inlineStr">
        <is>
          <t>A2</t>
        </is>
      </c>
      <c r="D145" s="6" t="n">
        <v>12</v>
      </c>
      <c r="E145" s="15" t="n">
        <v>245</v>
      </c>
      <c r="F145" s="5" t="inlineStr">
        <is>
          <t>нет</t>
        </is>
      </c>
      <c r="H145">
        <f>VLOOKUP(C145,Автомобили!$A$2:$G$1000,3,0)</f>
        <v/>
      </c>
      <c r="I145">
        <f>VLOOKUP(D145,Клиенты!$A$2:$D$1000,2,0)</f>
        <v/>
      </c>
      <c r="J145">
        <f>IF(AND(H145="Kaptur",I145="Окраинов Л.Г.",YEAR(B145)=2020),E145,0)</f>
        <v/>
      </c>
    </row>
    <row r="146">
      <c r="A146" s="6" t="n">
        <v>145</v>
      </c>
      <c r="B146" s="13" t="n">
        <v>43867</v>
      </c>
      <c r="C146" s="6" t="inlineStr">
        <is>
          <t>A22</t>
        </is>
      </c>
      <c r="D146" s="6" t="n">
        <v>12</v>
      </c>
      <c r="E146" s="15" t="n">
        <v>279</v>
      </c>
      <c r="F146" s="5" t="inlineStr">
        <is>
          <t>нет</t>
        </is>
      </c>
      <c r="H146">
        <f>VLOOKUP(C146,Автомобили!$A$2:$G$1000,3,0)</f>
        <v/>
      </c>
      <c r="I146">
        <f>VLOOKUP(D146,Клиенты!$A$2:$D$1000,2,0)</f>
        <v/>
      </c>
      <c r="J146">
        <f>IF(AND(H146="Kaptur",I146="Окраинов Л.Г.",YEAR(B146)=2020),E146,0)</f>
        <v/>
      </c>
    </row>
    <row r="147">
      <c r="A147" s="6" t="n">
        <v>146</v>
      </c>
      <c r="B147" s="13" t="n">
        <v>43867</v>
      </c>
      <c r="C147" s="6" t="inlineStr">
        <is>
          <t>A47</t>
        </is>
      </c>
      <c r="D147" s="6" t="n">
        <v>14</v>
      </c>
      <c r="E147" s="15" t="n">
        <v>117</v>
      </c>
      <c r="F147" s="5" t="inlineStr">
        <is>
          <t>нет</t>
        </is>
      </c>
      <c r="H147">
        <f>VLOOKUP(C147,Автомобили!$A$2:$G$1000,3,0)</f>
        <v/>
      </c>
      <c r="I147">
        <f>VLOOKUP(D147,Клиенты!$A$2:$D$1000,2,0)</f>
        <v/>
      </c>
      <c r="J147">
        <f>IF(AND(H147="Kaptur",I147="Окраинов Л.Г.",YEAR(B147)=2020),E147,0)</f>
        <v/>
      </c>
    </row>
    <row r="148">
      <c r="A148" s="6" t="n">
        <v>147</v>
      </c>
      <c r="B148" s="13" t="n">
        <v>43867</v>
      </c>
      <c r="C148" s="6" t="inlineStr">
        <is>
          <t>A32</t>
        </is>
      </c>
      <c r="D148" s="6" t="n">
        <v>6</v>
      </c>
      <c r="E148" s="15" t="n">
        <v>383</v>
      </c>
      <c r="F148" s="5" t="inlineStr">
        <is>
          <t>нет</t>
        </is>
      </c>
      <c r="H148">
        <f>VLOOKUP(C148,Автомобили!$A$2:$G$1000,3,0)</f>
        <v/>
      </c>
      <c r="I148">
        <f>VLOOKUP(D148,Клиенты!$A$2:$D$1000,2,0)</f>
        <v/>
      </c>
      <c r="J148">
        <f>IF(AND(H148="Kaptur",I148="Окраинов Л.Г.",YEAR(B148)=2020),E148,0)</f>
        <v/>
      </c>
    </row>
    <row r="149">
      <c r="A149" s="6" t="n">
        <v>148</v>
      </c>
      <c r="B149" s="13" t="n">
        <v>43867</v>
      </c>
      <c r="C149" s="6" t="inlineStr">
        <is>
          <t>A13</t>
        </is>
      </c>
      <c r="D149" s="6" t="n">
        <v>6</v>
      </c>
      <c r="E149" s="15" t="n">
        <v>85</v>
      </c>
      <c r="F149" s="5" t="inlineStr">
        <is>
          <t>нет</t>
        </is>
      </c>
      <c r="H149">
        <f>VLOOKUP(C149,Автомобили!$A$2:$G$1000,3,0)</f>
        <v/>
      </c>
      <c r="I149">
        <f>VLOOKUP(D149,Клиенты!$A$2:$D$1000,2,0)</f>
        <v/>
      </c>
      <c r="J149">
        <f>IF(AND(H149="Kaptur",I149="Окраинов Л.Г.",YEAR(B149)=2020),E149,0)</f>
        <v/>
      </c>
    </row>
    <row r="150">
      <c r="A150" s="6" t="n">
        <v>149</v>
      </c>
      <c r="B150" s="13" t="n">
        <v>43868</v>
      </c>
      <c r="C150" s="6" t="inlineStr">
        <is>
          <t>A58</t>
        </is>
      </c>
      <c r="D150" s="6" t="n">
        <v>10</v>
      </c>
      <c r="E150" s="15" t="n">
        <v>278</v>
      </c>
      <c r="F150" s="5" t="inlineStr">
        <is>
          <t>нет</t>
        </is>
      </c>
      <c r="H150">
        <f>VLOOKUP(C150,Автомобили!$A$2:$G$1000,3,0)</f>
        <v/>
      </c>
      <c r="I150">
        <f>VLOOKUP(D150,Клиенты!$A$2:$D$1000,2,0)</f>
        <v/>
      </c>
      <c r="J150">
        <f>IF(AND(H150="Kaptur",I150="Окраинов Л.Г.",YEAR(B150)=2020),E150,0)</f>
        <v/>
      </c>
    </row>
    <row r="151">
      <c r="A151" s="6" t="n">
        <v>150</v>
      </c>
      <c r="B151" s="13" t="n">
        <v>43868</v>
      </c>
      <c r="C151" s="6" t="inlineStr">
        <is>
          <t>A47</t>
        </is>
      </c>
      <c r="D151" s="6" t="n">
        <v>5</v>
      </c>
      <c r="E151" s="15" t="n">
        <v>410</v>
      </c>
      <c r="F151" s="5" t="inlineStr">
        <is>
          <t>нет</t>
        </is>
      </c>
      <c r="H151">
        <f>VLOOKUP(C151,Автомобили!$A$2:$G$1000,3,0)</f>
        <v/>
      </c>
      <c r="I151">
        <f>VLOOKUP(D151,Клиенты!$A$2:$D$1000,2,0)</f>
        <v/>
      </c>
      <c r="J151">
        <f>IF(AND(H151="Kaptur",I151="Окраинов Л.Г.",YEAR(B151)=2020),E151,0)</f>
        <v/>
      </c>
    </row>
    <row r="152">
      <c r="A152" s="6" t="n">
        <v>151</v>
      </c>
      <c r="B152" s="13" t="n">
        <v>43868</v>
      </c>
      <c r="C152" s="6" t="inlineStr">
        <is>
          <t>A35</t>
        </is>
      </c>
      <c r="D152" s="6" t="n">
        <v>13</v>
      </c>
      <c r="E152" s="15" t="n">
        <v>297</v>
      </c>
      <c r="F152" s="5" t="inlineStr">
        <is>
          <t>нет</t>
        </is>
      </c>
      <c r="H152">
        <f>VLOOKUP(C152,Автомобили!$A$2:$G$1000,3,0)</f>
        <v/>
      </c>
      <c r="I152">
        <f>VLOOKUP(D152,Клиенты!$A$2:$D$1000,2,0)</f>
        <v/>
      </c>
      <c r="J152">
        <f>IF(AND(H152="Kaptur",I152="Окраинов Л.Г.",YEAR(B152)=2020),E152,0)</f>
        <v/>
      </c>
    </row>
    <row r="153">
      <c r="A153" s="6" t="n">
        <v>152</v>
      </c>
      <c r="B153" s="13" t="n">
        <v>43868</v>
      </c>
      <c r="C153" s="6" t="inlineStr">
        <is>
          <t>A57</t>
        </is>
      </c>
      <c r="D153" s="6" t="n">
        <v>8</v>
      </c>
      <c r="E153" s="15" t="n">
        <v>373</v>
      </c>
      <c r="F153" s="5" t="inlineStr">
        <is>
          <t>нет</t>
        </is>
      </c>
      <c r="H153">
        <f>VLOOKUP(C153,Автомобили!$A$2:$G$1000,3,0)</f>
        <v/>
      </c>
      <c r="I153">
        <f>VLOOKUP(D153,Клиенты!$A$2:$D$1000,2,0)</f>
        <v/>
      </c>
      <c r="J153">
        <f>IF(AND(H153="Kaptur",I153="Окраинов Л.Г.",YEAR(B153)=2020),E153,0)</f>
        <v/>
      </c>
    </row>
    <row r="154">
      <c r="A154" s="6" t="n">
        <v>153</v>
      </c>
      <c r="B154" s="13" t="n">
        <v>43869</v>
      </c>
      <c r="C154" s="6" t="inlineStr">
        <is>
          <t>A62</t>
        </is>
      </c>
      <c r="D154" s="6" t="n">
        <v>5</v>
      </c>
      <c r="E154" s="15" t="n">
        <v>73</v>
      </c>
      <c r="F154" s="5" t="inlineStr">
        <is>
          <t>нет</t>
        </is>
      </c>
      <c r="H154">
        <f>VLOOKUP(C154,Автомобили!$A$2:$G$1000,3,0)</f>
        <v/>
      </c>
      <c r="I154">
        <f>VLOOKUP(D154,Клиенты!$A$2:$D$1000,2,0)</f>
        <v/>
      </c>
      <c r="J154">
        <f>IF(AND(H154="Kaptur",I154="Окраинов Л.Г.",YEAR(B154)=2020),E154,0)</f>
        <v/>
      </c>
    </row>
    <row r="155">
      <c r="A155" s="6" t="n">
        <v>154</v>
      </c>
      <c r="B155" s="13" t="n">
        <v>43869</v>
      </c>
      <c r="C155" s="6" t="inlineStr">
        <is>
          <t>A57</t>
        </is>
      </c>
      <c r="D155" s="6" t="n">
        <v>14</v>
      </c>
      <c r="E155" s="15" t="n">
        <v>158</v>
      </c>
      <c r="F155" s="5" t="inlineStr">
        <is>
          <t>нет</t>
        </is>
      </c>
      <c r="H155">
        <f>VLOOKUP(C155,Автомобили!$A$2:$G$1000,3,0)</f>
        <v/>
      </c>
      <c r="I155">
        <f>VLOOKUP(D155,Клиенты!$A$2:$D$1000,2,0)</f>
        <v/>
      </c>
      <c r="J155">
        <f>IF(AND(H155="Kaptur",I155="Окраинов Л.Г.",YEAR(B155)=2020),E155,0)</f>
        <v/>
      </c>
    </row>
    <row r="156">
      <c r="A156" s="6" t="n">
        <v>155</v>
      </c>
      <c r="B156" s="13" t="n">
        <v>43869</v>
      </c>
      <c r="C156" s="6" t="inlineStr">
        <is>
          <t>A59</t>
        </is>
      </c>
      <c r="D156" s="6" t="n">
        <v>4</v>
      </c>
      <c r="E156" s="15" t="n">
        <v>237</v>
      </c>
      <c r="F156" s="5" t="inlineStr">
        <is>
          <t>нет</t>
        </is>
      </c>
      <c r="H156">
        <f>VLOOKUP(C156,Автомобили!$A$2:$G$1000,3,0)</f>
        <v/>
      </c>
      <c r="I156">
        <f>VLOOKUP(D156,Клиенты!$A$2:$D$1000,2,0)</f>
        <v/>
      </c>
      <c r="J156">
        <f>IF(AND(H156="Kaptur",I156="Окраинов Л.Г.",YEAR(B156)=2020),E156,0)</f>
        <v/>
      </c>
    </row>
    <row r="157">
      <c r="A157" s="6" t="n">
        <v>156</v>
      </c>
      <c r="B157" s="13" t="n">
        <v>43869</v>
      </c>
      <c r="C157" s="6" t="inlineStr">
        <is>
          <t>A48</t>
        </is>
      </c>
      <c r="D157" s="6" t="n">
        <v>13</v>
      </c>
      <c r="E157" s="15" t="n">
        <v>156</v>
      </c>
      <c r="F157" s="5" t="inlineStr">
        <is>
          <t>нет</t>
        </is>
      </c>
      <c r="H157">
        <f>VLOOKUP(C157,Автомобили!$A$2:$G$1000,3,0)</f>
        <v/>
      </c>
      <c r="I157">
        <f>VLOOKUP(D157,Клиенты!$A$2:$D$1000,2,0)</f>
        <v/>
      </c>
      <c r="J157">
        <f>IF(AND(H157="Kaptur",I157="Окраинов Л.Г.",YEAR(B157)=2020),E157,0)</f>
        <v/>
      </c>
    </row>
    <row r="158">
      <c r="A158" s="6" t="n">
        <v>157</v>
      </c>
      <c r="B158" s="13" t="n">
        <v>43870</v>
      </c>
      <c r="C158" s="6" t="inlineStr">
        <is>
          <t>A14</t>
        </is>
      </c>
      <c r="D158" s="6" t="n">
        <v>12</v>
      </c>
      <c r="E158" s="15" t="n">
        <v>390</v>
      </c>
      <c r="F158" s="5" t="inlineStr">
        <is>
          <t>нет</t>
        </is>
      </c>
      <c r="H158">
        <f>VLOOKUP(C158,Автомобили!$A$2:$G$1000,3,0)</f>
        <v/>
      </c>
      <c r="I158">
        <f>VLOOKUP(D158,Клиенты!$A$2:$D$1000,2,0)</f>
        <v/>
      </c>
      <c r="J158">
        <f>IF(AND(H158="Kaptur",I158="Окраинов Л.Г.",YEAR(B158)=2020),E158,0)</f>
        <v/>
      </c>
    </row>
    <row r="159">
      <c r="A159" s="6" t="n">
        <v>158</v>
      </c>
      <c r="B159" s="13" t="n">
        <v>43870</v>
      </c>
      <c r="C159" s="6" t="inlineStr">
        <is>
          <t>A41</t>
        </is>
      </c>
      <c r="D159" s="6" t="n">
        <v>15</v>
      </c>
      <c r="E159" s="15" t="n">
        <v>381</v>
      </c>
      <c r="F159" s="5" t="inlineStr">
        <is>
          <t>нет</t>
        </is>
      </c>
      <c r="H159">
        <f>VLOOKUP(C159,Автомобили!$A$2:$G$1000,3,0)</f>
        <v/>
      </c>
      <c r="I159">
        <f>VLOOKUP(D159,Клиенты!$A$2:$D$1000,2,0)</f>
        <v/>
      </c>
      <c r="J159">
        <f>IF(AND(H159="Kaptur",I159="Окраинов Л.Г.",YEAR(B159)=2020),E159,0)</f>
        <v/>
      </c>
    </row>
    <row r="160">
      <c r="A160" s="6" t="n">
        <v>159</v>
      </c>
      <c r="B160" s="13" t="n">
        <v>43870</v>
      </c>
      <c r="C160" s="6" t="inlineStr">
        <is>
          <t>A23</t>
        </is>
      </c>
      <c r="D160" s="6" t="n">
        <v>9</v>
      </c>
      <c r="E160" s="15" t="n">
        <v>359</v>
      </c>
      <c r="F160" s="5" t="inlineStr">
        <is>
          <t>нет</t>
        </is>
      </c>
      <c r="H160">
        <f>VLOOKUP(C160,Автомобили!$A$2:$G$1000,3,0)</f>
        <v/>
      </c>
      <c r="I160">
        <f>VLOOKUP(D160,Клиенты!$A$2:$D$1000,2,0)</f>
        <v/>
      </c>
      <c r="J160">
        <f>IF(AND(H160="Kaptur",I160="Окраинов Л.Г.",YEAR(B160)=2020),E160,0)</f>
        <v/>
      </c>
    </row>
    <row r="161">
      <c r="A161" s="6" t="n">
        <v>160</v>
      </c>
      <c r="B161" s="13" t="n">
        <v>43870</v>
      </c>
      <c r="C161" s="6" t="inlineStr">
        <is>
          <t>A24</t>
        </is>
      </c>
      <c r="D161" s="6" t="n">
        <v>6</v>
      </c>
      <c r="E161" s="15" t="n">
        <v>394</v>
      </c>
      <c r="F161" s="5" t="inlineStr">
        <is>
          <t>нет</t>
        </is>
      </c>
      <c r="H161">
        <f>VLOOKUP(C161,Автомобили!$A$2:$G$1000,3,0)</f>
        <v/>
      </c>
      <c r="I161">
        <f>VLOOKUP(D161,Клиенты!$A$2:$D$1000,2,0)</f>
        <v/>
      </c>
      <c r="J161">
        <f>IF(AND(H161="Kaptur",I161="Окраинов Л.Г.",YEAR(B161)=2020),E161,0)</f>
        <v/>
      </c>
    </row>
    <row r="162">
      <c r="A162" s="6" t="n">
        <v>161</v>
      </c>
      <c r="B162" s="13" t="n">
        <v>43871</v>
      </c>
      <c r="C162" s="6" t="inlineStr">
        <is>
          <t>A12</t>
        </is>
      </c>
      <c r="D162" s="6" t="n">
        <v>3</v>
      </c>
      <c r="E162" s="15" t="n">
        <v>279</v>
      </c>
      <c r="F162" s="5" t="inlineStr">
        <is>
          <t>нет</t>
        </is>
      </c>
      <c r="H162">
        <f>VLOOKUP(C162,Автомобили!$A$2:$G$1000,3,0)</f>
        <v/>
      </c>
      <c r="I162">
        <f>VLOOKUP(D162,Клиенты!$A$2:$D$1000,2,0)</f>
        <v/>
      </c>
      <c r="J162">
        <f>IF(AND(H162="Kaptur",I162="Окраинов Л.Г.",YEAR(B162)=2020),E162,0)</f>
        <v/>
      </c>
    </row>
    <row r="163">
      <c r="A163" s="6" t="n">
        <v>162</v>
      </c>
      <c r="B163" s="13" t="n">
        <v>43871</v>
      </c>
      <c r="C163" s="6" t="inlineStr">
        <is>
          <t>A31</t>
        </is>
      </c>
      <c r="D163" s="6" t="n">
        <v>11</v>
      </c>
      <c r="E163" s="15" t="n">
        <v>205</v>
      </c>
      <c r="F163" s="5" t="inlineStr">
        <is>
          <t>нет</t>
        </is>
      </c>
      <c r="H163">
        <f>VLOOKUP(C163,Автомобили!$A$2:$G$1000,3,0)</f>
        <v/>
      </c>
      <c r="I163">
        <f>VLOOKUP(D163,Клиенты!$A$2:$D$1000,2,0)</f>
        <v/>
      </c>
      <c r="J163">
        <f>IF(AND(H163="Kaptur",I163="Окраинов Л.Г.",YEAR(B163)=2020),E163,0)</f>
        <v/>
      </c>
    </row>
    <row r="164">
      <c r="A164" s="6" t="n">
        <v>163</v>
      </c>
      <c r="B164" s="13" t="n">
        <v>43871</v>
      </c>
      <c r="C164" s="6" t="inlineStr">
        <is>
          <t>A51</t>
        </is>
      </c>
      <c r="D164" s="6" t="n">
        <v>12</v>
      </c>
      <c r="E164" s="15" t="n">
        <v>218</v>
      </c>
      <c r="F164" s="5" t="inlineStr">
        <is>
          <t>нет</t>
        </is>
      </c>
      <c r="H164">
        <f>VLOOKUP(C164,Автомобили!$A$2:$G$1000,3,0)</f>
        <v/>
      </c>
      <c r="I164">
        <f>VLOOKUP(D164,Клиенты!$A$2:$D$1000,2,0)</f>
        <v/>
      </c>
      <c r="J164">
        <f>IF(AND(H164="Kaptur",I164="Окраинов Л.Г.",YEAR(B164)=2020),E164,0)</f>
        <v/>
      </c>
    </row>
    <row r="165">
      <c r="A165" s="6" t="n">
        <v>164</v>
      </c>
      <c r="B165" s="13" t="n">
        <v>43871</v>
      </c>
      <c r="C165" s="6" t="inlineStr">
        <is>
          <t>A27</t>
        </is>
      </c>
      <c r="D165" s="6" t="n">
        <v>4</v>
      </c>
      <c r="E165" s="15" t="n">
        <v>175</v>
      </c>
      <c r="F165" s="5" t="inlineStr">
        <is>
          <t>нет</t>
        </is>
      </c>
      <c r="H165">
        <f>VLOOKUP(C165,Автомобили!$A$2:$G$1000,3,0)</f>
        <v/>
      </c>
      <c r="I165">
        <f>VLOOKUP(D165,Клиенты!$A$2:$D$1000,2,0)</f>
        <v/>
      </c>
      <c r="J165">
        <f>IF(AND(H165="Kaptur",I165="Окраинов Л.Г.",YEAR(B165)=2020),E165,0)</f>
        <v/>
      </c>
    </row>
    <row r="166">
      <c r="A166" s="6" t="n">
        <v>165</v>
      </c>
      <c r="B166" s="13" t="n">
        <v>43872</v>
      </c>
      <c r="C166" s="6" t="inlineStr">
        <is>
          <t>A47</t>
        </is>
      </c>
      <c r="D166" s="6" t="n">
        <v>13</v>
      </c>
      <c r="E166" s="15" t="n">
        <v>136</v>
      </c>
      <c r="F166" s="5" t="inlineStr">
        <is>
          <t>нет</t>
        </is>
      </c>
      <c r="H166">
        <f>VLOOKUP(C166,Автомобили!$A$2:$G$1000,3,0)</f>
        <v/>
      </c>
      <c r="I166">
        <f>VLOOKUP(D166,Клиенты!$A$2:$D$1000,2,0)</f>
        <v/>
      </c>
      <c r="J166">
        <f>IF(AND(H166="Kaptur",I166="Окраинов Л.Г.",YEAR(B166)=2020),E166,0)</f>
        <v/>
      </c>
    </row>
    <row r="167">
      <c r="A167" s="6" t="n">
        <v>166</v>
      </c>
      <c r="B167" s="13" t="n">
        <v>43872</v>
      </c>
      <c r="C167" s="6" t="inlineStr">
        <is>
          <t>A62</t>
        </is>
      </c>
      <c r="D167" s="6" t="n">
        <v>13</v>
      </c>
      <c r="E167" s="15" t="n">
        <v>355</v>
      </c>
      <c r="F167" s="5" t="inlineStr">
        <is>
          <t>нет</t>
        </is>
      </c>
      <c r="H167">
        <f>VLOOKUP(C167,Автомобили!$A$2:$G$1000,3,0)</f>
        <v/>
      </c>
      <c r="I167">
        <f>VLOOKUP(D167,Клиенты!$A$2:$D$1000,2,0)</f>
        <v/>
      </c>
      <c r="J167">
        <f>IF(AND(H167="Kaptur",I167="Окраинов Л.Г.",YEAR(B167)=2020),E167,0)</f>
        <v/>
      </c>
    </row>
    <row r="168">
      <c r="A168" s="6" t="n">
        <v>167</v>
      </c>
      <c r="B168" s="13" t="n">
        <v>43872</v>
      </c>
      <c r="C168" s="6" t="inlineStr">
        <is>
          <t>A5</t>
        </is>
      </c>
      <c r="D168" s="6" t="n">
        <v>5</v>
      </c>
      <c r="E168" s="15" t="n">
        <v>323</v>
      </c>
      <c r="F168" s="5" t="inlineStr">
        <is>
          <t>нет</t>
        </is>
      </c>
      <c r="H168">
        <f>VLOOKUP(C168,Автомобили!$A$2:$G$1000,3,0)</f>
        <v/>
      </c>
      <c r="I168">
        <f>VLOOKUP(D168,Клиенты!$A$2:$D$1000,2,0)</f>
        <v/>
      </c>
      <c r="J168">
        <f>IF(AND(H168="Kaptur",I168="Окраинов Л.Г.",YEAR(B168)=2020),E168,0)</f>
        <v/>
      </c>
    </row>
    <row r="169">
      <c r="A169" s="6" t="n">
        <v>168</v>
      </c>
      <c r="B169" s="13" t="n">
        <v>43872</v>
      </c>
      <c r="C169" s="6" t="inlineStr">
        <is>
          <t>A18</t>
        </is>
      </c>
      <c r="D169" s="6" t="n">
        <v>15</v>
      </c>
      <c r="E169" s="15" t="n">
        <v>111</v>
      </c>
      <c r="F169" s="5" t="inlineStr">
        <is>
          <t>нет</t>
        </is>
      </c>
      <c r="H169">
        <f>VLOOKUP(C169,Автомобили!$A$2:$G$1000,3,0)</f>
        <v/>
      </c>
      <c r="I169">
        <f>VLOOKUP(D169,Клиенты!$A$2:$D$1000,2,0)</f>
        <v/>
      </c>
      <c r="J169">
        <f>IF(AND(H169="Kaptur",I169="Окраинов Л.Г.",YEAR(B169)=2020),E169,0)</f>
        <v/>
      </c>
    </row>
    <row r="170">
      <c r="A170" s="6" t="n">
        <v>169</v>
      </c>
      <c r="B170" s="13" t="n">
        <v>43873</v>
      </c>
      <c r="C170" s="6" t="inlineStr">
        <is>
          <t>A37</t>
        </is>
      </c>
      <c r="D170" s="6" t="n">
        <v>9</v>
      </c>
      <c r="E170" s="15" t="n">
        <v>394</v>
      </c>
      <c r="F170" s="5" t="inlineStr">
        <is>
          <t>нет</t>
        </is>
      </c>
      <c r="H170">
        <f>VLOOKUP(C170,Автомобили!$A$2:$G$1000,3,0)</f>
        <v/>
      </c>
      <c r="I170">
        <f>VLOOKUP(D170,Клиенты!$A$2:$D$1000,2,0)</f>
        <v/>
      </c>
      <c r="J170">
        <f>IF(AND(H170="Kaptur",I170="Окраинов Л.Г.",YEAR(B170)=2020),E170,0)</f>
        <v/>
      </c>
    </row>
    <row r="171">
      <c r="A171" s="6" t="n">
        <v>170</v>
      </c>
      <c r="B171" s="13" t="n">
        <v>43873</v>
      </c>
      <c r="C171" s="6" t="inlineStr">
        <is>
          <t>A25</t>
        </is>
      </c>
      <c r="D171" s="6" t="n">
        <v>4</v>
      </c>
      <c r="E171" s="15" t="n">
        <v>375</v>
      </c>
      <c r="F171" s="5" t="inlineStr">
        <is>
          <t>нет</t>
        </is>
      </c>
      <c r="H171">
        <f>VLOOKUP(C171,Автомобили!$A$2:$G$1000,3,0)</f>
        <v/>
      </c>
      <c r="I171">
        <f>VLOOKUP(D171,Клиенты!$A$2:$D$1000,2,0)</f>
        <v/>
      </c>
      <c r="J171">
        <f>IF(AND(H171="Kaptur",I171="Окраинов Л.Г.",YEAR(B171)=2020),E171,0)</f>
        <v/>
      </c>
    </row>
    <row r="172">
      <c r="A172" s="6" t="n">
        <v>171</v>
      </c>
      <c r="B172" s="13" t="n">
        <v>43873</v>
      </c>
      <c r="C172" s="6" t="inlineStr">
        <is>
          <t>A49</t>
        </is>
      </c>
      <c r="D172" s="6" t="n">
        <v>8</v>
      </c>
      <c r="E172" s="15" t="n">
        <v>372</v>
      </c>
      <c r="F172" s="5" t="inlineStr">
        <is>
          <t>нет</t>
        </is>
      </c>
      <c r="H172">
        <f>VLOOKUP(C172,Автомобили!$A$2:$G$1000,3,0)</f>
        <v/>
      </c>
      <c r="I172">
        <f>VLOOKUP(D172,Клиенты!$A$2:$D$1000,2,0)</f>
        <v/>
      </c>
      <c r="J172">
        <f>IF(AND(H172="Kaptur",I172="Окраинов Л.Г.",YEAR(B172)=2020),E172,0)</f>
        <v/>
      </c>
    </row>
    <row r="173">
      <c r="A173" s="6" t="n">
        <v>172</v>
      </c>
      <c r="B173" s="13" t="n">
        <v>43873</v>
      </c>
      <c r="C173" s="6" t="inlineStr">
        <is>
          <t>A47</t>
        </is>
      </c>
      <c r="D173" s="6" t="n">
        <v>1</v>
      </c>
      <c r="E173" s="15" t="n">
        <v>364</v>
      </c>
      <c r="F173" s="5" t="inlineStr">
        <is>
          <t>нет</t>
        </is>
      </c>
      <c r="H173">
        <f>VLOOKUP(C173,Автомобили!$A$2:$G$1000,3,0)</f>
        <v/>
      </c>
      <c r="I173">
        <f>VLOOKUP(D173,Клиенты!$A$2:$D$1000,2,0)</f>
        <v/>
      </c>
      <c r="J173">
        <f>IF(AND(H173="Kaptur",I173="Окраинов Л.Г.",YEAR(B173)=2020),E173,0)</f>
        <v/>
      </c>
    </row>
    <row r="174">
      <c r="A174" s="6" t="n">
        <v>173</v>
      </c>
      <c r="B174" s="13" t="n">
        <v>43874</v>
      </c>
      <c r="C174" s="6" t="inlineStr">
        <is>
          <t>A23</t>
        </is>
      </c>
      <c r="D174" s="6" t="n">
        <v>2</v>
      </c>
      <c r="E174" s="15" t="n">
        <v>168</v>
      </c>
      <c r="F174" s="5" t="inlineStr">
        <is>
          <t>нет</t>
        </is>
      </c>
      <c r="H174">
        <f>VLOOKUP(C174,Автомобили!$A$2:$G$1000,3,0)</f>
        <v/>
      </c>
      <c r="I174">
        <f>VLOOKUP(D174,Клиенты!$A$2:$D$1000,2,0)</f>
        <v/>
      </c>
      <c r="J174">
        <f>IF(AND(H174="Kaptur",I174="Окраинов Л.Г.",YEAR(B174)=2020),E174,0)</f>
        <v/>
      </c>
    </row>
    <row r="175">
      <c r="A175" s="6" t="n">
        <v>174</v>
      </c>
      <c r="B175" s="13" t="n">
        <v>43874</v>
      </c>
      <c r="C175" s="6" t="inlineStr">
        <is>
          <t>A21</t>
        </is>
      </c>
      <c r="D175" s="6" t="n">
        <v>3</v>
      </c>
      <c r="E175" s="15" t="n">
        <v>321</v>
      </c>
      <c r="F175" s="5" t="inlineStr">
        <is>
          <t>нет</t>
        </is>
      </c>
      <c r="H175">
        <f>VLOOKUP(C175,Автомобили!$A$2:$G$1000,3,0)</f>
        <v/>
      </c>
      <c r="I175">
        <f>VLOOKUP(D175,Клиенты!$A$2:$D$1000,2,0)</f>
        <v/>
      </c>
      <c r="J175">
        <f>IF(AND(H175="Kaptur",I175="Окраинов Л.Г.",YEAR(B175)=2020),E175,0)</f>
        <v/>
      </c>
    </row>
    <row r="176">
      <c r="A176" s="6" t="n">
        <v>175</v>
      </c>
      <c r="B176" s="13" t="n">
        <v>43874</v>
      </c>
      <c r="C176" s="6" t="inlineStr">
        <is>
          <t>A50</t>
        </is>
      </c>
      <c r="D176" s="6" t="n">
        <v>12</v>
      </c>
      <c r="E176" s="15" t="n">
        <v>381</v>
      </c>
      <c r="F176" s="5" t="inlineStr">
        <is>
          <t>нет</t>
        </is>
      </c>
      <c r="H176">
        <f>VLOOKUP(C176,Автомобили!$A$2:$G$1000,3,0)</f>
        <v/>
      </c>
      <c r="I176">
        <f>VLOOKUP(D176,Клиенты!$A$2:$D$1000,2,0)</f>
        <v/>
      </c>
      <c r="J176">
        <f>IF(AND(H176="Kaptur",I176="Окраинов Л.Г.",YEAR(B176)=2020),E176,0)</f>
        <v/>
      </c>
    </row>
    <row r="177">
      <c r="A177" s="6" t="n">
        <v>176</v>
      </c>
      <c r="B177" s="13" t="n">
        <v>43874</v>
      </c>
      <c r="C177" s="6" t="inlineStr">
        <is>
          <t>A11</t>
        </is>
      </c>
      <c r="D177" s="6" t="n">
        <v>15</v>
      </c>
      <c r="E177" s="15" t="n">
        <v>287</v>
      </c>
      <c r="F177" s="5" t="inlineStr">
        <is>
          <t>нет</t>
        </is>
      </c>
      <c r="H177">
        <f>VLOOKUP(C177,Автомобили!$A$2:$G$1000,3,0)</f>
        <v/>
      </c>
      <c r="I177">
        <f>VLOOKUP(D177,Клиенты!$A$2:$D$1000,2,0)</f>
        <v/>
      </c>
      <c r="J177">
        <f>IF(AND(H177="Kaptur",I177="Окраинов Л.Г.",YEAR(B177)=2020),E177,0)</f>
        <v/>
      </c>
    </row>
    <row r="178">
      <c r="A178" s="6" t="n">
        <v>177</v>
      </c>
      <c r="B178" s="13" t="n">
        <v>43875</v>
      </c>
      <c r="C178" s="6" t="inlineStr">
        <is>
          <t>A19</t>
        </is>
      </c>
      <c r="D178" s="6" t="n">
        <v>9</v>
      </c>
      <c r="E178" s="15" t="n">
        <v>157</v>
      </c>
      <c r="F178" s="5" t="inlineStr">
        <is>
          <t>нет</t>
        </is>
      </c>
      <c r="H178">
        <f>VLOOKUP(C178,Автомобили!$A$2:$G$1000,3,0)</f>
        <v/>
      </c>
      <c r="I178">
        <f>VLOOKUP(D178,Клиенты!$A$2:$D$1000,2,0)</f>
        <v/>
      </c>
      <c r="J178">
        <f>IF(AND(H178="Kaptur",I178="Окраинов Л.Г.",YEAR(B178)=2020),E178,0)</f>
        <v/>
      </c>
    </row>
    <row r="179">
      <c r="A179" s="6" t="n">
        <v>178</v>
      </c>
      <c r="B179" s="13" t="n">
        <v>43875</v>
      </c>
      <c r="C179" s="6" t="inlineStr">
        <is>
          <t>A21</t>
        </is>
      </c>
      <c r="D179" s="6" t="n">
        <v>11</v>
      </c>
      <c r="E179" s="15" t="n">
        <v>371</v>
      </c>
      <c r="F179" s="5" t="inlineStr">
        <is>
          <t>нет</t>
        </is>
      </c>
      <c r="H179">
        <f>VLOOKUP(C179,Автомобили!$A$2:$G$1000,3,0)</f>
        <v/>
      </c>
      <c r="I179">
        <f>VLOOKUP(D179,Клиенты!$A$2:$D$1000,2,0)</f>
        <v/>
      </c>
      <c r="J179">
        <f>IF(AND(H179="Kaptur",I179="Окраинов Л.Г.",YEAR(B179)=2020),E179,0)</f>
        <v/>
      </c>
    </row>
    <row r="180">
      <c r="A180" s="6" t="n">
        <v>179</v>
      </c>
      <c r="B180" s="13" t="n">
        <v>43875</v>
      </c>
      <c r="C180" s="6" t="inlineStr">
        <is>
          <t>A48</t>
        </is>
      </c>
      <c r="D180" s="6" t="n">
        <v>3</v>
      </c>
      <c r="E180" s="15" t="n">
        <v>89</v>
      </c>
      <c r="F180" s="5" t="inlineStr">
        <is>
          <t>нет</t>
        </is>
      </c>
      <c r="H180">
        <f>VLOOKUP(C180,Автомобили!$A$2:$G$1000,3,0)</f>
        <v/>
      </c>
      <c r="I180">
        <f>VLOOKUP(D180,Клиенты!$A$2:$D$1000,2,0)</f>
        <v/>
      </c>
      <c r="J180">
        <f>IF(AND(H180="Kaptur",I180="Окраинов Л.Г.",YEAR(B180)=2020),E180,0)</f>
        <v/>
      </c>
    </row>
    <row r="181">
      <c r="A181" s="6" t="n">
        <v>180</v>
      </c>
      <c r="B181" s="13" t="n">
        <v>43875</v>
      </c>
      <c r="C181" s="6" t="inlineStr">
        <is>
          <t>A21</t>
        </is>
      </c>
      <c r="D181" s="6" t="n">
        <v>1</v>
      </c>
      <c r="E181" s="15" t="n">
        <v>342</v>
      </c>
      <c r="F181" s="5" t="inlineStr">
        <is>
          <t>нет</t>
        </is>
      </c>
      <c r="H181">
        <f>VLOOKUP(C181,Автомобили!$A$2:$G$1000,3,0)</f>
        <v/>
      </c>
      <c r="I181">
        <f>VLOOKUP(D181,Клиенты!$A$2:$D$1000,2,0)</f>
        <v/>
      </c>
      <c r="J181">
        <f>IF(AND(H181="Kaptur",I181="Окраинов Л.Г.",YEAR(B181)=2020),E181,0)</f>
        <v/>
      </c>
    </row>
    <row r="182">
      <c r="A182" s="6" t="n">
        <v>181</v>
      </c>
      <c r="B182" s="13" t="n">
        <v>43876</v>
      </c>
      <c r="C182" s="6" t="inlineStr">
        <is>
          <t>A1</t>
        </is>
      </c>
      <c r="D182" s="6" t="n">
        <v>5</v>
      </c>
      <c r="E182" s="15" t="n">
        <v>85</v>
      </c>
      <c r="F182" s="5" t="inlineStr">
        <is>
          <t>нет</t>
        </is>
      </c>
      <c r="H182">
        <f>VLOOKUP(C182,Автомобили!$A$2:$G$1000,3,0)</f>
        <v/>
      </c>
      <c r="I182">
        <f>VLOOKUP(D182,Клиенты!$A$2:$D$1000,2,0)</f>
        <v/>
      </c>
      <c r="J182">
        <f>IF(AND(H182="Kaptur",I182="Окраинов Л.Г.",YEAR(B182)=2020),E182,0)</f>
        <v/>
      </c>
    </row>
    <row r="183">
      <c r="A183" s="6" t="n">
        <v>182</v>
      </c>
      <c r="B183" s="13" t="n">
        <v>43876</v>
      </c>
      <c r="C183" s="6" t="inlineStr">
        <is>
          <t>A38</t>
        </is>
      </c>
      <c r="D183" s="6" t="n">
        <v>6</v>
      </c>
      <c r="E183" s="15" t="n">
        <v>444</v>
      </c>
      <c r="F183" s="5" t="inlineStr">
        <is>
          <t>нет</t>
        </is>
      </c>
      <c r="H183">
        <f>VLOOKUP(C183,Автомобили!$A$2:$G$1000,3,0)</f>
        <v/>
      </c>
      <c r="I183">
        <f>VLOOKUP(D183,Клиенты!$A$2:$D$1000,2,0)</f>
        <v/>
      </c>
      <c r="J183">
        <f>IF(AND(H183="Kaptur",I183="Окраинов Л.Г.",YEAR(B183)=2020),E183,0)</f>
        <v/>
      </c>
    </row>
    <row r="184">
      <c r="A184" s="6" t="n">
        <v>183</v>
      </c>
      <c r="B184" s="13" t="n">
        <v>43876</v>
      </c>
      <c r="C184" s="6" t="inlineStr">
        <is>
          <t>A30</t>
        </is>
      </c>
      <c r="D184" s="6" t="n">
        <v>5</v>
      </c>
      <c r="E184" s="15" t="n">
        <v>263</v>
      </c>
      <c r="F184" s="5" t="inlineStr">
        <is>
          <t>нет</t>
        </is>
      </c>
      <c r="H184">
        <f>VLOOKUP(C184,Автомобили!$A$2:$G$1000,3,0)</f>
        <v/>
      </c>
      <c r="I184">
        <f>VLOOKUP(D184,Клиенты!$A$2:$D$1000,2,0)</f>
        <v/>
      </c>
      <c r="J184">
        <f>IF(AND(H184="Kaptur",I184="Окраинов Л.Г.",YEAR(B184)=2020),E184,0)</f>
        <v/>
      </c>
    </row>
    <row r="185">
      <c r="A185" s="6" t="n">
        <v>184</v>
      </c>
      <c r="B185" s="13" t="n">
        <v>43876</v>
      </c>
      <c r="C185" s="6" t="inlineStr">
        <is>
          <t>A1</t>
        </is>
      </c>
      <c r="D185" s="6" t="n">
        <v>15</v>
      </c>
      <c r="E185" s="15" t="n">
        <v>306</v>
      </c>
      <c r="F185" s="5" t="inlineStr">
        <is>
          <t>нет</t>
        </is>
      </c>
      <c r="H185">
        <f>VLOOKUP(C185,Автомобили!$A$2:$G$1000,3,0)</f>
        <v/>
      </c>
      <c r="I185">
        <f>VLOOKUP(D185,Клиенты!$A$2:$D$1000,2,0)</f>
        <v/>
      </c>
      <c r="J185">
        <f>IF(AND(H185="Kaptur",I185="Окраинов Л.Г.",YEAR(B185)=2020),E185,0)</f>
        <v/>
      </c>
    </row>
    <row r="186">
      <c r="A186" s="6" t="n">
        <v>185</v>
      </c>
      <c r="B186" s="13" t="n">
        <v>43877</v>
      </c>
      <c r="C186" s="6" t="inlineStr">
        <is>
          <t>A50</t>
        </is>
      </c>
      <c r="D186" s="6" t="n">
        <v>13</v>
      </c>
      <c r="E186" s="15" t="n">
        <v>417</v>
      </c>
      <c r="F186" s="5" t="inlineStr">
        <is>
          <t>нет</t>
        </is>
      </c>
      <c r="H186">
        <f>VLOOKUP(C186,Автомобили!$A$2:$G$1000,3,0)</f>
        <v/>
      </c>
      <c r="I186">
        <f>VLOOKUP(D186,Клиенты!$A$2:$D$1000,2,0)</f>
        <v/>
      </c>
      <c r="J186">
        <f>IF(AND(H186="Kaptur",I186="Окраинов Л.Г.",YEAR(B186)=2020),E186,0)</f>
        <v/>
      </c>
    </row>
    <row r="187">
      <c r="A187" s="6" t="n">
        <v>186</v>
      </c>
      <c r="B187" s="13" t="n">
        <v>43877</v>
      </c>
      <c r="C187" s="6" t="inlineStr">
        <is>
          <t>A6</t>
        </is>
      </c>
      <c r="D187" s="6" t="n">
        <v>1</v>
      </c>
      <c r="E187" s="15" t="n">
        <v>332</v>
      </c>
      <c r="F187" s="5" t="inlineStr">
        <is>
          <t>нет</t>
        </is>
      </c>
      <c r="H187">
        <f>VLOOKUP(C187,Автомобили!$A$2:$G$1000,3,0)</f>
        <v/>
      </c>
      <c r="I187">
        <f>VLOOKUP(D187,Клиенты!$A$2:$D$1000,2,0)</f>
        <v/>
      </c>
      <c r="J187">
        <f>IF(AND(H187="Kaptur",I187="Окраинов Л.Г.",YEAR(B187)=2020),E187,0)</f>
        <v/>
      </c>
    </row>
    <row r="188">
      <c r="A188" s="6" t="n">
        <v>187</v>
      </c>
      <c r="B188" s="13" t="n">
        <v>43877</v>
      </c>
      <c r="C188" s="6" t="inlineStr">
        <is>
          <t>A61</t>
        </is>
      </c>
      <c r="D188" s="6" t="n">
        <v>15</v>
      </c>
      <c r="E188" s="15" t="n">
        <v>426</v>
      </c>
      <c r="F188" s="5" t="inlineStr">
        <is>
          <t>нет</t>
        </is>
      </c>
      <c r="H188">
        <f>VLOOKUP(C188,Автомобили!$A$2:$G$1000,3,0)</f>
        <v/>
      </c>
      <c r="I188">
        <f>VLOOKUP(D188,Клиенты!$A$2:$D$1000,2,0)</f>
        <v/>
      </c>
      <c r="J188">
        <f>IF(AND(H188="Kaptur",I188="Окраинов Л.Г.",YEAR(B188)=2020),E188,0)</f>
        <v/>
      </c>
    </row>
    <row r="189">
      <c r="A189" s="6" t="n">
        <v>188</v>
      </c>
      <c r="B189" s="13" t="n">
        <v>43877</v>
      </c>
      <c r="C189" s="6" t="inlineStr">
        <is>
          <t>A48</t>
        </is>
      </c>
      <c r="D189" s="6" t="n">
        <v>6</v>
      </c>
      <c r="E189" s="15" t="n">
        <v>133</v>
      </c>
      <c r="F189" s="5" t="inlineStr">
        <is>
          <t>нет</t>
        </is>
      </c>
      <c r="H189">
        <f>VLOOKUP(C189,Автомобили!$A$2:$G$1000,3,0)</f>
        <v/>
      </c>
      <c r="I189">
        <f>VLOOKUP(D189,Клиенты!$A$2:$D$1000,2,0)</f>
        <v/>
      </c>
      <c r="J189">
        <f>IF(AND(H189="Kaptur",I189="Окраинов Л.Г.",YEAR(B189)=2020),E189,0)</f>
        <v/>
      </c>
    </row>
    <row r="190">
      <c r="A190" s="6" t="n">
        <v>189</v>
      </c>
      <c r="B190" s="13" t="n">
        <v>43878</v>
      </c>
      <c r="C190" s="6" t="inlineStr">
        <is>
          <t>A4</t>
        </is>
      </c>
      <c r="D190" s="6" t="n">
        <v>11</v>
      </c>
      <c r="E190" s="15" t="n">
        <v>324</v>
      </c>
      <c r="F190" s="5" t="inlineStr">
        <is>
          <t>нет</t>
        </is>
      </c>
      <c r="H190">
        <f>VLOOKUP(C190,Автомобили!$A$2:$G$1000,3,0)</f>
        <v/>
      </c>
      <c r="I190">
        <f>VLOOKUP(D190,Клиенты!$A$2:$D$1000,2,0)</f>
        <v/>
      </c>
      <c r="J190">
        <f>IF(AND(H190="Kaptur",I190="Окраинов Л.Г.",YEAR(B190)=2020),E190,0)</f>
        <v/>
      </c>
    </row>
    <row r="191">
      <c r="A191" s="6" t="n">
        <v>190</v>
      </c>
      <c r="B191" s="13" t="n">
        <v>43878</v>
      </c>
      <c r="C191" s="6" t="inlineStr">
        <is>
          <t>A3</t>
        </is>
      </c>
      <c r="D191" s="6" t="n">
        <v>6</v>
      </c>
      <c r="E191" s="15" t="n">
        <v>71</v>
      </c>
      <c r="F191" s="5" t="inlineStr">
        <is>
          <t>нет</t>
        </is>
      </c>
      <c r="H191">
        <f>VLOOKUP(C191,Автомобили!$A$2:$G$1000,3,0)</f>
        <v/>
      </c>
      <c r="I191">
        <f>VLOOKUP(D191,Клиенты!$A$2:$D$1000,2,0)</f>
        <v/>
      </c>
      <c r="J191">
        <f>IF(AND(H191="Kaptur",I191="Окраинов Л.Г.",YEAR(B191)=2020),E191,0)</f>
        <v/>
      </c>
    </row>
    <row r="192">
      <c r="A192" s="6" t="n">
        <v>191</v>
      </c>
      <c r="B192" s="13" t="n">
        <v>43878</v>
      </c>
      <c r="C192" s="6" t="inlineStr">
        <is>
          <t>A60</t>
        </is>
      </c>
      <c r="D192" s="6" t="n">
        <v>11</v>
      </c>
      <c r="E192" s="15" t="n">
        <v>386</v>
      </c>
      <c r="F192" s="5" t="inlineStr">
        <is>
          <t>нет</t>
        </is>
      </c>
      <c r="H192">
        <f>VLOOKUP(C192,Автомобили!$A$2:$G$1000,3,0)</f>
        <v/>
      </c>
      <c r="I192">
        <f>VLOOKUP(D192,Клиенты!$A$2:$D$1000,2,0)</f>
        <v/>
      </c>
      <c r="J192">
        <f>IF(AND(H192="Kaptur",I192="Окраинов Л.Г.",YEAR(B192)=2020),E192,0)</f>
        <v/>
      </c>
    </row>
    <row r="193">
      <c r="A193" s="6" t="n">
        <v>192</v>
      </c>
      <c r="B193" s="13" t="n">
        <v>43878</v>
      </c>
      <c r="C193" s="6" t="inlineStr">
        <is>
          <t>A19</t>
        </is>
      </c>
      <c r="D193" s="6" t="n">
        <v>14</v>
      </c>
      <c r="E193" s="15" t="n">
        <v>293</v>
      </c>
      <c r="F193" s="5" t="inlineStr">
        <is>
          <t>нет</t>
        </is>
      </c>
      <c r="H193">
        <f>VLOOKUP(C193,Автомобили!$A$2:$G$1000,3,0)</f>
        <v/>
      </c>
      <c r="I193">
        <f>VLOOKUP(D193,Клиенты!$A$2:$D$1000,2,0)</f>
        <v/>
      </c>
      <c r="J193">
        <f>IF(AND(H193="Kaptur",I193="Окраинов Л.Г.",YEAR(B193)=2020),E193,0)</f>
        <v/>
      </c>
    </row>
    <row r="194">
      <c r="A194" s="6" t="n">
        <v>193</v>
      </c>
      <c r="B194" s="13" t="n">
        <v>43879</v>
      </c>
      <c r="C194" s="6" t="inlineStr">
        <is>
          <t>A60</t>
        </is>
      </c>
      <c r="D194" s="6" t="n">
        <v>5</v>
      </c>
      <c r="E194" s="15" t="n">
        <v>388</v>
      </c>
      <c r="F194" s="5" t="inlineStr">
        <is>
          <t>нет</t>
        </is>
      </c>
      <c r="H194">
        <f>VLOOKUP(C194,Автомобили!$A$2:$G$1000,3,0)</f>
        <v/>
      </c>
      <c r="I194">
        <f>VLOOKUP(D194,Клиенты!$A$2:$D$1000,2,0)</f>
        <v/>
      </c>
      <c r="J194">
        <f>IF(AND(H194="Kaptur",I194="Окраинов Л.Г.",YEAR(B194)=2020),E194,0)</f>
        <v/>
      </c>
    </row>
    <row r="195">
      <c r="A195" s="6" t="n">
        <v>194</v>
      </c>
      <c r="B195" s="13" t="n">
        <v>43879</v>
      </c>
      <c r="C195" s="6" t="inlineStr">
        <is>
          <t>A5</t>
        </is>
      </c>
      <c r="D195" s="6" t="n">
        <v>14</v>
      </c>
      <c r="E195" s="15" t="n">
        <v>277</v>
      </c>
      <c r="F195" s="5" t="inlineStr">
        <is>
          <t>нет</t>
        </is>
      </c>
      <c r="H195">
        <f>VLOOKUP(C195,Автомобили!$A$2:$G$1000,3,0)</f>
        <v/>
      </c>
      <c r="I195">
        <f>VLOOKUP(D195,Клиенты!$A$2:$D$1000,2,0)</f>
        <v/>
      </c>
      <c r="J195">
        <f>IF(AND(H195="Kaptur",I195="Окраинов Л.Г.",YEAR(B195)=2020),E195,0)</f>
        <v/>
      </c>
    </row>
    <row r="196">
      <c r="A196" s="6" t="n">
        <v>195</v>
      </c>
      <c r="B196" s="13" t="n">
        <v>43879</v>
      </c>
      <c r="C196" s="6" t="inlineStr">
        <is>
          <t>A23</t>
        </is>
      </c>
      <c r="D196" s="6" t="n">
        <v>2</v>
      </c>
      <c r="E196" s="15" t="n">
        <v>229</v>
      </c>
      <c r="F196" s="5" t="inlineStr">
        <is>
          <t>нет</t>
        </is>
      </c>
      <c r="H196">
        <f>VLOOKUP(C196,Автомобили!$A$2:$G$1000,3,0)</f>
        <v/>
      </c>
      <c r="I196">
        <f>VLOOKUP(D196,Клиенты!$A$2:$D$1000,2,0)</f>
        <v/>
      </c>
      <c r="J196">
        <f>IF(AND(H196="Kaptur",I196="Окраинов Л.Г.",YEAR(B196)=2020),E196,0)</f>
        <v/>
      </c>
    </row>
    <row r="197">
      <c r="A197" s="6" t="n">
        <v>196</v>
      </c>
      <c r="B197" s="13" t="n">
        <v>43879</v>
      </c>
      <c r="C197" s="6" t="inlineStr">
        <is>
          <t>A41</t>
        </is>
      </c>
      <c r="D197" s="6" t="n">
        <v>1</v>
      </c>
      <c r="E197" s="15" t="n">
        <v>223</v>
      </c>
      <c r="F197" s="5" t="inlineStr">
        <is>
          <t>нет</t>
        </is>
      </c>
      <c r="H197">
        <f>VLOOKUP(C197,Автомобили!$A$2:$G$1000,3,0)</f>
        <v/>
      </c>
      <c r="I197">
        <f>VLOOKUP(D197,Клиенты!$A$2:$D$1000,2,0)</f>
        <v/>
      </c>
      <c r="J197">
        <f>IF(AND(H197="Kaptur",I197="Окраинов Л.Г.",YEAR(B197)=2020),E197,0)</f>
        <v/>
      </c>
    </row>
    <row r="198">
      <c r="A198" s="6" t="n">
        <v>197</v>
      </c>
      <c r="B198" s="13" t="n">
        <v>43880</v>
      </c>
      <c r="C198" s="6" t="inlineStr">
        <is>
          <t>A11</t>
        </is>
      </c>
      <c r="D198" s="6" t="n">
        <v>7</v>
      </c>
      <c r="E198" s="15" t="n">
        <v>408</v>
      </c>
      <c r="F198" s="5" t="inlineStr">
        <is>
          <t>нет</t>
        </is>
      </c>
      <c r="H198">
        <f>VLOOKUP(C198,Автомобили!$A$2:$G$1000,3,0)</f>
        <v/>
      </c>
      <c r="I198">
        <f>VLOOKUP(D198,Клиенты!$A$2:$D$1000,2,0)</f>
        <v/>
      </c>
      <c r="J198">
        <f>IF(AND(H198="Kaptur",I198="Окраинов Л.Г.",YEAR(B198)=2020),E198,0)</f>
        <v/>
      </c>
    </row>
    <row r="199">
      <c r="A199" s="6" t="n">
        <v>198</v>
      </c>
      <c r="B199" s="13" t="n">
        <v>43880</v>
      </c>
      <c r="C199" s="6" t="inlineStr">
        <is>
          <t>A49</t>
        </is>
      </c>
      <c r="D199" s="6" t="n">
        <v>4</v>
      </c>
      <c r="E199" s="15" t="n">
        <v>120</v>
      </c>
      <c r="F199" s="5" t="inlineStr">
        <is>
          <t>нет</t>
        </is>
      </c>
      <c r="H199">
        <f>VLOOKUP(C199,Автомобили!$A$2:$G$1000,3,0)</f>
        <v/>
      </c>
      <c r="I199">
        <f>VLOOKUP(D199,Клиенты!$A$2:$D$1000,2,0)</f>
        <v/>
      </c>
      <c r="J199">
        <f>IF(AND(H199="Kaptur",I199="Окраинов Л.Г.",YEAR(B199)=2020),E199,0)</f>
        <v/>
      </c>
    </row>
    <row r="200">
      <c r="A200" s="6" t="n">
        <v>199</v>
      </c>
      <c r="B200" s="13" t="n">
        <v>43880</v>
      </c>
      <c r="C200" s="6" t="inlineStr">
        <is>
          <t>A21</t>
        </is>
      </c>
      <c r="D200" s="6" t="n">
        <v>11</v>
      </c>
      <c r="E200" s="15" t="n">
        <v>375</v>
      </c>
      <c r="F200" s="5" t="inlineStr">
        <is>
          <t>нет</t>
        </is>
      </c>
      <c r="H200">
        <f>VLOOKUP(C200,Автомобили!$A$2:$G$1000,3,0)</f>
        <v/>
      </c>
      <c r="I200">
        <f>VLOOKUP(D200,Клиенты!$A$2:$D$1000,2,0)</f>
        <v/>
      </c>
      <c r="J200">
        <f>IF(AND(H200="Kaptur",I200="Окраинов Л.Г.",YEAR(B200)=2020),E200,0)</f>
        <v/>
      </c>
    </row>
    <row r="201">
      <c r="A201" s="6" t="n">
        <v>200</v>
      </c>
      <c r="B201" s="13" t="n">
        <v>43880</v>
      </c>
      <c r="C201" s="6" t="inlineStr">
        <is>
          <t>A50</t>
        </is>
      </c>
      <c r="D201" s="6" t="n">
        <v>15</v>
      </c>
      <c r="E201" s="15" t="n">
        <v>284</v>
      </c>
      <c r="F201" s="5" t="inlineStr">
        <is>
          <t>нет</t>
        </is>
      </c>
      <c r="H201">
        <f>VLOOKUP(C201,Автомобили!$A$2:$G$1000,3,0)</f>
        <v/>
      </c>
      <c r="I201">
        <f>VLOOKUP(D201,Клиенты!$A$2:$D$1000,2,0)</f>
        <v/>
      </c>
      <c r="J201">
        <f>IF(AND(H201="Kaptur",I201="Окраинов Л.Г.",YEAR(B201)=2020),E201,0)</f>
        <v/>
      </c>
    </row>
    <row r="202">
      <c r="A202" s="6" t="n">
        <v>201</v>
      </c>
      <c r="B202" s="13" t="n">
        <v>43881</v>
      </c>
      <c r="C202" s="6" t="inlineStr">
        <is>
          <t>A63</t>
        </is>
      </c>
      <c r="D202" s="6" t="n">
        <v>8</v>
      </c>
      <c r="E202" s="15" t="n">
        <v>204</v>
      </c>
      <c r="F202" s="5" t="inlineStr">
        <is>
          <t>нет</t>
        </is>
      </c>
      <c r="H202">
        <f>VLOOKUP(C202,Автомобили!$A$2:$G$1000,3,0)</f>
        <v/>
      </c>
      <c r="I202">
        <f>VLOOKUP(D202,Клиенты!$A$2:$D$1000,2,0)</f>
        <v/>
      </c>
      <c r="J202">
        <f>IF(AND(H202="Kaptur",I202="Окраинов Л.Г.",YEAR(B202)=2020),E202,0)</f>
        <v/>
      </c>
    </row>
    <row r="203">
      <c r="A203" s="6" t="n">
        <v>202</v>
      </c>
      <c r="B203" s="13" t="n">
        <v>43881</v>
      </c>
      <c r="C203" s="6" t="inlineStr">
        <is>
          <t>A6</t>
        </is>
      </c>
      <c r="D203" s="6" t="n">
        <v>13</v>
      </c>
      <c r="E203" s="15" t="n">
        <v>280</v>
      </c>
      <c r="F203" s="5" t="inlineStr">
        <is>
          <t>нет</t>
        </is>
      </c>
      <c r="H203">
        <f>VLOOKUP(C203,Автомобили!$A$2:$G$1000,3,0)</f>
        <v/>
      </c>
      <c r="I203">
        <f>VLOOKUP(D203,Клиенты!$A$2:$D$1000,2,0)</f>
        <v/>
      </c>
      <c r="J203">
        <f>IF(AND(H203="Kaptur",I203="Окраинов Л.Г.",YEAR(B203)=2020),E203,0)</f>
        <v/>
      </c>
    </row>
    <row r="204">
      <c r="A204" s="6" t="n">
        <v>203</v>
      </c>
      <c r="B204" s="13" t="n">
        <v>43881</v>
      </c>
      <c r="C204" s="6" t="inlineStr">
        <is>
          <t>A57</t>
        </is>
      </c>
      <c r="D204" s="6" t="n">
        <v>11</v>
      </c>
      <c r="E204" s="15" t="n">
        <v>95</v>
      </c>
      <c r="F204" s="5" t="inlineStr">
        <is>
          <t>нет</t>
        </is>
      </c>
      <c r="H204">
        <f>VLOOKUP(C204,Автомобили!$A$2:$G$1000,3,0)</f>
        <v/>
      </c>
      <c r="I204">
        <f>VLOOKUP(D204,Клиенты!$A$2:$D$1000,2,0)</f>
        <v/>
      </c>
      <c r="J204">
        <f>IF(AND(H204="Kaptur",I204="Окраинов Л.Г.",YEAR(B204)=2020),E204,0)</f>
        <v/>
      </c>
    </row>
    <row r="205">
      <c r="A205" s="6" t="n">
        <v>204</v>
      </c>
      <c r="B205" s="13" t="n">
        <v>43881</v>
      </c>
      <c r="C205" s="6" t="inlineStr">
        <is>
          <t>A15</t>
        </is>
      </c>
      <c r="D205" s="6" t="n">
        <v>4</v>
      </c>
      <c r="E205" s="15" t="n">
        <v>438</v>
      </c>
      <c r="F205" s="5" t="inlineStr">
        <is>
          <t>нет</t>
        </is>
      </c>
      <c r="H205">
        <f>VLOOKUP(C205,Автомобили!$A$2:$G$1000,3,0)</f>
        <v/>
      </c>
      <c r="I205">
        <f>VLOOKUP(D205,Клиенты!$A$2:$D$1000,2,0)</f>
        <v/>
      </c>
      <c r="J205">
        <f>IF(AND(H205="Kaptur",I205="Окраинов Л.Г.",YEAR(B205)=2020),E205,0)</f>
        <v/>
      </c>
    </row>
    <row r="206">
      <c r="A206" s="6" t="n">
        <v>205</v>
      </c>
      <c r="B206" s="13" t="n">
        <v>43882</v>
      </c>
      <c r="C206" s="6" t="inlineStr">
        <is>
          <t>A61</t>
        </is>
      </c>
      <c r="D206" s="6" t="n">
        <v>11</v>
      </c>
      <c r="E206" s="15" t="n">
        <v>84</v>
      </c>
      <c r="F206" s="5" t="inlineStr">
        <is>
          <t>нет</t>
        </is>
      </c>
      <c r="H206">
        <f>VLOOKUP(C206,Автомобили!$A$2:$G$1000,3,0)</f>
        <v/>
      </c>
      <c r="I206">
        <f>VLOOKUP(D206,Клиенты!$A$2:$D$1000,2,0)</f>
        <v/>
      </c>
      <c r="J206">
        <f>IF(AND(H206="Kaptur",I206="Окраинов Л.Г.",YEAR(B206)=2020),E206,0)</f>
        <v/>
      </c>
    </row>
    <row r="207">
      <c r="A207" s="6" t="n">
        <v>206</v>
      </c>
      <c r="B207" s="13" t="n">
        <v>43882</v>
      </c>
      <c r="C207" s="6" t="inlineStr">
        <is>
          <t>A11</t>
        </is>
      </c>
      <c r="D207" s="6" t="n">
        <v>11</v>
      </c>
      <c r="E207" s="15" t="n">
        <v>94</v>
      </c>
      <c r="F207" s="5" t="inlineStr">
        <is>
          <t>нет</t>
        </is>
      </c>
      <c r="H207">
        <f>VLOOKUP(C207,Автомобили!$A$2:$G$1000,3,0)</f>
        <v/>
      </c>
      <c r="I207">
        <f>VLOOKUP(D207,Клиенты!$A$2:$D$1000,2,0)</f>
        <v/>
      </c>
      <c r="J207">
        <f>IF(AND(H207="Kaptur",I207="Окраинов Л.Г.",YEAR(B207)=2020),E207,0)</f>
        <v/>
      </c>
    </row>
    <row r="208">
      <c r="A208" s="6" t="n">
        <v>207</v>
      </c>
      <c r="B208" s="13" t="n">
        <v>43882</v>
      </c>
      <c r="C208" s="6" t="inlineStr">
        <is>
          <t>A61</t>
        </is>
      </c>
      <c r="D208" s="6" t="n">
        <v>3</v>
      </c>
      <c r="E208" s="15" t="n">
        <v>400</v>
      </c>
      <c r="F208" s="5" t="inlineStr">
        <is>
          <t>нет</t>
        </is>
      </c>
      <c r="H208">
        <f>VLOOKUP(C208,Автомобили!$A$2:$G$1000,3,0)</f>
        <v/>
      </c>
      <c r="I208">
        <f>VLOOKUP(D208,Клиенты!$A$2:$D$1000,2,0)</f>
        <v/>
      </c>
      <c r="J208">
        <f>IF(AND(H208="Kaptur",I208="Окраинов Л.Г.",YEAR(B208)=2020),E208,0)</f>
        <v/>
      </c>
    </row>
    <row r="209">
      <c r="A209" s="6" t="n">
        <v>208</v>
      </c>
      <c r="B209" s="13" t="n">
        <v>43882</v>
      </c>
      <c r="C209" s="6" t="inlineStr">
        <is>
          <t>A12</t>
        </is>
      </c>
      <c r="D209" s="6" t="n">
        <v>10</v>
      </c>
      <c r="E209" s="15" t="n">
        <v>166</v>
      </c>
      <c r="F209" s="5" t="inlineStr">
        <is>
          <t>нет</t>
        </is>
      </c>
      <c r="H209">
        <f>VLOOKUP(C209,Автомобили!$A$2:$G$1000,3,0)</f>
        <v/>
      </c>
      <c r="I209">
        <f>VLOOKUP(D209,Клиенты!$A$2:$D$1000,2,0)</f>
        <v/>
      </c>
      <c r="J209">
        <f>IF(AND(H209="Kaptur",I209="Окраинов Л.Г.",YEAR(B209)=2020),E209,0)</f>
        <v/>
      </c>
    </row>
    <row r="210">
      <c r="A210" s="6" t="n">
        <v>209</v>
      </c>
      <c r="B210" s="13" t="n">
        <v>43883</v>
      </c>
      <c r="C210" s="6" t="inlineStr">
        <is>
          <t>A63</t>
        </is>
      </c>
      <c r="D210" s="6" t="n">
        <v>1</v>
      </c>
      <c r="E210" s="15" t="n">
        <v>397</v>
      </c>
      <c r="F210" s="5" t="inlineStr">
        <is>
          <t>нет</t>
        </is>
      </c>
      <c r="H210">
        <f>VLOOKUP(C210,Автомобили!$A$2:$G$1000,3,0)</f>
        <v/>
      </c>
      <c r="I210">
        <f>VLOOKUP(D210,Клиенты!$A$2:$D$1000,2,0)</f>
        <v/>
      </c>
      <c r="J210">
        <f>IF(AND(H210="Kaptur",I210="Окраинов Л.Г.",YEAR(B210)=2020),E210,0)</f>
        <v/>
      </c>
    </row>
    <row r="211">
      <c r="A211" s="6" t="n">
        <v>210</v>
      </c>
      <c r="B211" s="13" t="n">
        <v>43883</v>
      </c>
      <c r="C211" s="6" t="inlineStr">
        <is>
          <t>A29</t>
        </is>
      </c>
      <c r="D211" s="6" t="n">
        <v>14</v>
      </c>
      <c r="E211" s="15" t="n">
        <v>241</v>
      </c>
      <c r="F211" s="5" t="inlineStr">
        <is>
          <t>нет</t>
        </is>
      </c>
      <c r="H211">
        <f>VLOOKUP(C211,Автомобили!$A$2:$G$1000,3,0)</f>
        <v/>
      </c>
      <c r="I211">
        <f>VLOOKUP(D211,Клиенты!$A$2:$D$1000,2,0)</f>
        <v/>
      </c>
      <c r="J211">
        <f>IF(AND(H211="Kaptur",I211="Окраинов Л.Г.",YEAR(B211)=2020),E211,0)</f>
        <v/>
      </c>
    </row>
    <row r="212">
      <c r="A212" s="6" t="n">
        <v>211</v>
      </c>
      <c r="B212" s="13" t="n">
        <v>43883</v>
      </c>
      <c r="C212" s="6" t="inlineStr">
        <is>
          <t>A10</t>
        </is>
      </c>
      <c r="D212" s="6" t="n">
        <v>3</v>
      </c>
      <c r="E212" s="15" t="n">
        <v>100</v>
      </c>
      <c r="F212" s="5" t="inlineStr">
        <is>
          <t>нет</t>
        </is>
      </c>
      <c r="H212">
        <f>VLOOKUP(C212,Автомобили!$A$2:$G$1000,3,0)</f>
        <v/>
      </c>
      <c r="I212">
        <f>VLOOKUP(D212,Клиенты!$A$2:$D$1000,2,0)</f>
        <v/>
      </c>
      <c r="J212">
        <f>IF(AND(H212="Kaptur",I212="Окраинов Л.Г.",YEAR(B212)=2020),E212,0)</f>
        <v/>
      </c>
    </row>
    <row r="213">
      <c r="A213" s="6" t="n">
        <v>212</v>
      </c>
      <c r="B213" s="13" t="n">
        <v>43883</v>
      </c>
      <c r="C213" s="6" t="inlineStr">
        <is>
          <t>A51</t>
        </is>
      </c>
      <c r="D213" s="6" t="n">
        <v>7</v>
      </c>
      <c r="E213" s="15" t="n">
        <v>324</v>
      </c>
      <c r="F213" s="5" t="inlineStr">
        <is>
          <t>нет</t>
        </is>
      </c>
      <c r="H213">
        <f>VLOOKUP(C213,Автомобили!$A$2:$G$1000,3,0)</f>
        <v/>
      </c>
      <c r="I213">
        <f>VLOOKUP(D213,Клиенты!$A$2:$D$1000,2,0)</f>
        <v/>
      </c>
      <c r="J213">
        <f>IF(AND(H213="Kaptur",I213="Окраинов Л.Г.",YEAR(B213)=2020),E213,0)</f>
        <v/>
      </c>
    </row>
    <row r="214">
      <c r="A214" s="6" t="n">
        <v>213</v>
      </c>
      <c r="B214" s="13" t="n">
        <v>43884</v>
      </c>
      <c r="C214" s="6" t="inlineStr">
        <is>
          <t>A42</t>
        </is>
      </c>
      <c r="D214" s="6" t="n">
        <v>14</v>
      </c>
      <c r="E214" s="15" t="n">
        <v>196</v>
      </c>
      <c r="F214" s="5" t="inlineStr">
        <is>
          <t>нет</t>
        </is>
      </c>
      <c r="H214">
        <f>VLOOKUP(C214,Автомобили!$A$2:$G$1000,3,0)</f>
        <v/>
      </c>
      <c r="I214">
        <f>VLOOKUP(D214,Клиенты!$A$2:$D$1000,2,0)</f>
        <v/>
      </c>
      <c r="J214">
        <f>IF(AND(H214="Kaptur",I214="Окраинов Л.Г.",YEAR(B214)=2020),E214,0)</f>
        <v/>
      </c>
    </row>
    <row r="215">
      <c r="A215" s="6" t="n">
        <v>214</v>
      </c>
      <c r="B215" s="13" t="n">
        <v>43884</v>
      </c>
      <c r="C215" s="6" t="inlineStr">
        <is>
          <t>A48</t>
        </is>
      </c>
      <c r="D215" s="6" t="n">
        <v>6</v>
      </c>
      <c r="E215" s="15" t="n">
        <v>286</v>
      </c>
      <c r="F215" s="5" t="inlineStr">
        <is>
          <t>нет</t>
        </is>
      </c>
      <c r="H215">
        <f>VLOOKUP(C215,Автомобили!$A$2:$G$1000,3,0)</f>
        <v/>
      </c>
      <c r="I215">
        <f>VLOOKUP(D215,Клиенты!$A$2:$D$1000,2,0)</f>
        <v/>
      </c>
      <c r="J215">
        <f>IF(AND(H215="Kaptur",I215="Окраинов Л.Г.",YEAR(B215)=2020),E215,0)</f>
        <v/>
      </c>
    </row>
    <row r="216">
      <c r="A216" s="6" t="n">
        <v>215</v>
      </c>
      <c r="B216" s="13" t="n">
        <v>43884</v>
      </c>
      <c r="C216" s="6" t="inlineStr">
        <is>
          <t>A9</t>
        </is>
      </c>
      <c r="D216" s="6" t="n">
        <v>5</v>
      </c>
      <c r="E216" s="15" t="n">
        <v>390</v>
      </c>
      <c r="F216" s="5" t="inlineStr">
        <is>
          <t>нет</t>
        </is>
      </c>
      <c r="H216">
        <f>VLOOKUP(C216,Автомобили!$A$2:$G$1000,3,0)</f>
        <v/>
      </c>
      <c r="I216">
        <f>VLOOKUP(D216,Клиенты!$A$2:$D$1000,2,0)</f>
        <v/>
      </c>
      <c r="J216">
        <f>IF(AND(H216="Kaptur",I216="Окраинов Л.Г.",YEAR(B216)=2020),E216,0)</f>
        <v/>
      </c>
    </row>
    <row r="217">
      <c r="A217" s="6" t="n">
        <v>216</v>
      </c>
      <c r="B217" s="13" t="n">
        <v>43884</v>
      </c>
      <c r="C217" s="6" t="inlineStr">
        <is>
          <t>A55</t>
        </is>
      </c>
      <c r="D217" s="6" t="n">
        <v>11</v>
      </c>
      <c r="E217" s="15" t="n">
        <v>254</v>
      </c>
      <c r="F217" s="5" t="inlineStr">
        <is>
          <t>нет</t>
        </is>
      </c>
      <c r="H217">
        <f>VLOOKUP(C217,Автомобили!$A$2:$G$1000,3,0)</f>
        <v/>
      </c>
      <c r="I217">
        <f>VLOOKUP(D217,Клиенты!$A$2:$D$1000,2,0)</f>
        <v/>
      </c>
      <c r="J217">
        <f>IF(AND(H217="Kaptur",I217="Окраинов Л.Г.",YEAR(B217)=2020),E217,0)</f>
        <v/>
      </c>
    </row>
    <row r="218">
      <c r="A218" s="6" t="n">
        <v>217</v>
      </c>
      <c r="B218" s="13" t="n">
        <v>43885</v>
      </c>
      <c r="C218" s="6" t="inlineStr">
        <is>
          <t>A44</t>
        </is>
      </c>
      <c r="D218" s="6" t="n">
        <v>15</v>
      </c>
      <c r="E218" s="15" t="n">
        <v>303</v>
      </c>
      <c r="F218" s="5" t="inlineStr">
        <is>
          <t>нет</t>
        </is>
      </c>
      <c r="H218">
        <f>VLOOKUP(C218,Автомобили!$A$2:$G$1000,3,0)</f>
        <v/>
      </c>
      <c r="I218">
        <f>VLOOKUP(D218,Клиенты!$A$2:$D$1000,2,0)</f>
        <v/>
      </c>
      <c r="J218">
        <f>IF(AND(H218="Kaptur",I218="Окраинов Л.Г.",YEAR(B218)=2020),E218,0)</f>
        <v/>
      </c>
    </row>
    <row r="219">
      <c r="A219" s="6" t="n">
        <v>218</v>
      </c>
      <c r="B219" s="13" t="n">
        <v>43885</v>
      </c>
      <c r="C219" s="6" t="inlineStr">
        <is>
          <t>A23</t>
        </is>
      </c>
      <c r="D219" s="6" t="n">
        <v>9</v>
      </c>
      <c r="E219" s="15" t="n">
        <v>94</v>
      </c>
      <c r="F219" s="5" t="inlineStr">
        <is>
          <t>нет</t>
        </is>
      </c>
      <c r="H219">
        <f>VLOOKUP(C219,Автомобили!$A$2:$G$1000,3,0)</f>
        <v/>
      </c>
      <c r="I219">
        <f>VLOOKUP(D219,Клиенты!$A$2:$D$1000,2,0)</f>
        <v/>
      </c>
      <c r="J219">
        <f>IF(AND(H219="Kaptur",I219="Окраинов Л.Г.",YEAR(B219)=2020),E219,0)</f>
        <v/>
      </c>
    </row>
    <row r="220">
      <c r="A220" s="6" t="n">
        <v>219</v>
      </c>
      <c r="B220" s="13" t="n">
        <v>43885</v>
      </c>
      <c r="C220" s="6" t="inlineStr">
        <is>
          <t>A15</t>
        </is>
      </c>
      <c r="D220" s="6" t="n">
        <v>7</v>
      </c>
      <c r="E220" s="15" t="n">
        <v>315</v>
      </c>
      <c r="F220" s="5" t="inlineStr">
        <is>
          <t>нет</t>
        </is>
      </c>
      <c r="H220">
        <f>VLOOKUP(C220,Автомобили!$A$2:$G$1000,3,0)</f>
        <v/>
      </c>
      <c r="I220">
        <f>VLOOKUP(D220,Клиенты!$A$2:$D$1000,2,0)</f>
        <v/>
      </c>
      <c r="J220">
        <f>IF(AND(H220="Kaptur",I220="Окраинов Л.Г.",YEAR(B220)=2020),E220,0)</f>
        <v/>
      </c>
    </row>
    <row r="221">
      <c r="A221" s="6" t="n">
        <v>220</v>
      </c>
      <c r="B221" s="13" t="n">
        <v>43885</v>
      </c>
      <c r="C221" s="6" t="inlineStr">
        <is>
          <t>A33</t>
        </is>
      </c>
      <c r="D221" s="6" t="n">
        <v>4</v>
      </c>
      <c r="E221" s="15" t="n">
        <v>287</v>
      </c>
      <c r="F221" s="5" t="inlineStr">
        <is>
          <t>нет</t>
        </is>
      </c>
      <c r="H221">
        <f>VLOOKUP(C221,Автомобили!$A$2:$G$1000,3,0)</f>
        <v/>
      </c>
      <c r="I221">
        <f>VLOOKUP(D221,Клиенты!$A$2:$D$1000,2,0)</f>
        <v/>
      </c>
      <c r="J221">
        <f>IF(AND(H221="Kaptur",I221="Окраинов Л.Г.",YEAR(B221)=2020),E221,0)</f>
        <v/>
      </c>
    </row>
    <row r="222">
      <c r="A222" s="6" t="n">
        <v>221</v>
      </c>
      <c r="B222" s="13" t="n">
        <v>43886</v>
      </c>
      <c r="C222" s="6" t="inlineStr">
        <is>
          <t>A25</t>
        </is>
      </c>
      <c r="D222" s="6" t="n">
        <v>14</v>
      </c>
      <c r="E222" s="15" t="n">
        <v>78</v>
      </c>
      <c r="F222" s="5" t="inlineStr">
        <is>
          <t>нет</t>
        </is>
      </c>
      <c r="H222">
        <f>VLOOKUP(C222,Автомобили!$A$2:$G$1000,3,0)</f>
        <v/>
      </c>
      <c r="I222">
        <f>VLOOKUP(D222,Клиенты!$A$2:$D$1000,2,0)</f>
        <v/>
      </c>
      <c r="J222">
        <f>IF(AND(H222="Kaptur",I222="Окраинов Л.Г.",YEAR(B222)=2020),E222,0)</f>
        <v/>
      </c>
    </row>
    <row r="223">
      <c r="A223" s="6" t="n">
        <v>222</v>
      </c>
      <c r="B223" s="13" t="n">
        <v>43886</v>
      </c>
      <c r="C223" s="6" t="inlineStr">
        <is>
          <t>A61</t>
        </is>
      </c>
      <c r="D223" s="6" t="n">
        <v>8</v>
      </c>
      <c r="E223" s="15" t="n">
        <v>224</v>
      </c>
      <c r="F223" s="5" t="inlineStr">
        <is>
          <t>нет</t>
        </is>
      </c>
      <c r="H223">
        <f>VLOOKUP(C223,Автомобили!$A$2:$G$1000,3,0)</f>
        <v/>
      </c>
      <c r="I223">
        <f>VLOOKUP(D223,Клиенты!$A$2:$D$1000,2,0)</f>
        <v/>
      </c>
      <c r="J223">
        <f>IF(AND(H223="Kaptur",I223="Окраинов Л.Г.",YEAR(B223)=2020),E223,0)</f>
        <v/>
      </c>
    </row>
    <row r="224">
      <c r="A224" s="6" t="n">
        <v>223</v>
      </c>
      <c r="B224" s="13" t="n">
        <v>43886</v>
      </c>
      <c r="C224" s="6" t="inlineStr">
        <is>
          <t>A33</t>
        </is>
      </c>
      <c r="D224" s="6" t="n">
        <v>14</v>
      </c>
      <c r="E224" s="15" t="n">
        <v>89</v>
      </c>
      <c r="F224" s="5" t="inlineStr">
        <is>
          <t>нет</t>
        </is>
      </c>
      <c r="H224">
        <f>VLOOKUP(C224,Автомобили!$A$2:$G$1000,3,0)</f>
        <v/>
      </c>
      <c r="I224">
        <f>VLOOKUP(D224,Клиенты!$A$2:$D$1000,2,0)</f>
        <v/>
      </c>
      <c r="J224">
        <f>IF(AND(H224="Kaptur",I224="Окраинов Л.Г.",YEAR(B224)=2020),E224,0)</f>
        <v/>
      </c>
    </row>
    <row r="225">
      <c r="A225" s="6" t="n">
        <v>224</v>
      </c>
      <c r="B225" s="13" t="n">
        <v>43886</v>
      </c>
      <c r="C225" s="6" t="inlineStr">
        <is>
          <t>A28</t>
        </is>
      </c>
      <c r="D225" s="6" t="n">
        <v>13</v>
      </c>
      <c r="E225" s="15" t="n">
        <v>182</v>
      </c>
      <c r="F225" s="5" t="inlineStr">
        <is>
          <t>нет</t>
        </is>
      </c>
      <c r="H225">
        <f>VLOOKUP(C225,Автомобили!$A$2:$G$1000,3,0)</f>
        <v/>
      </c>
      <c r="I225">
        <f>VLOOKUP(D225,Клиенты!$A$2:$D$1000,2,0)</f>
        <v/>
      </c>
      <c r="J225">
        <f>IF(AND(H225="Kaptur",I225="Окраинов Л.Г.",YEAR(B225)=2020),E225,0)</f>
        <v/>
      </c>
    </row>
    <row r="226">
      <c r="A226" s="6" t="n">
        <v>225</v>
      </c>
      <c r="B226" s="13" t="n">
        <v>43887</v>
      </c>
      <c r="C226" s="6" t="inlineStr">
        <is>
          <t>A55</t>
        </is>
      </c>
      <c r="D226" s="6" t="n">
        <v>13</v>
      </c>
      <c r="E226" s="15" t="n">
        <v>246</v>
      </c>
      <c r="F226" s="5" t="inlineStr">
        <is>
          <t>нет</t>
        </is>
      </c>
      <c r="H226">
        <f>VLOOKUP(C226,Автомобили!$A$2:$G$1000,3,0)</f>
        <v/>
      </c>
      <c r="I226">
        <f>VLOOKUP(D226,Клиенты!$A$2:$D$1000,2,0)</f>
        <v/>
      </c>
      <c r="J226">
        <f>IF(AND(H226="Kaptur",I226="Окраинов Л.Г.",YEAR(B226)=2020),E226,0)</f>
        <v/>
      </c>
    </row>
    <row r="227">
      <c r="A227" s="6" t="n">
        <v>226</v>
      </c>
      <c r="B227" s="13" t="n">
        <v>43887</v>
      </c>
      <c r="C227" s="6" t="inlineStr">
        <is>
          <t>A36</t>
        </is>
      </c>
      <c r="D227" s="6" t="n">
        <v>1</v>
      </c>
      <c r="E227" s="15" t="n">
        <v>377</v>
      </c>
      <c r="F227" s="5" t="inlineStr">
        <is>
          <t>нет</t>
        </is>
      </c>
      <c r="H227">
        <f>VLOOKUP(C227,Автомобили!$A$2:$G$1000,3,0)</f>
        <v/>
      </c>
      <c r="I227">
        <f>VLOOKUP(D227,Клиенты!$A$2:$D$1000,2,0)</f>
        <v/>
      </c>
      <c r="J227">
        <f>IF(AND(H227="Kaptur",I227="Окраинов Л.Г.",YEAR(B227)=2020),E227,0)</f>
        <v/>
      </c>
    </row>
    <row r="228">
      <c r="A228" s="6" t="n">
        <v>227</v>
      </c>
      <c r="B228" s="13" t="n">
        <v>43887</v>
      </c>
      <c r="C228" s="6" t="inlineStr">
        <is>
          <t>A44</t>
        </is>
      </c>
      <c r="D228" s="6" t="n">
        <v>5</v>
      </c>
      <c r="E228" s="15" t="n">
        <v>208</v>
      </c>
      <c r="F228" s="5" t="inlineStr">
        <is>
          <t>нет</t>
        </is>
      </c>
      <c r="H228">
        <f>VLOOKUP(C228,Автомобили!$A$2:$G$1000,3,0)</f>
        <v/>
      </c>
      <c r="I228">
        <f>VLOOKUP(D228,Клиенты!$A$2:$D$1000,2,0)</f>
        <v/>
      </c>
      <c r="J228">
        <f>IF(AND(H228="Kaptur",I228="Окраинов Л.Г.",YEAR(B228)=2020),E228,0)</f>
        <v/>
      </c>
    </row>
    <row r="229">
      <c r="A229" s="6" t="n">
        <v>228</v>
      </c>
      <c r="B229" s="13" t="n">
        <v>43887</v>
      </c>
      <c r="C229" s="6" t="inlineStr">
        <is>
          <t>A55</t>
        </is>
      </c>
      <c r="D229" s="6" t="n">
        <v>12</v>
      </c>
      <c r="E229" s="15" t="n">
        <v>118</v>
      </c>
      <c r="F229" s="5" t="inlineStr">
        <is>
          <t>нет</t>
        </is>
      </c>
      <c r="H229">
        <f>VLOOKUP(C229,Автомобили!$A$2:$G$1000,3,0)</f>
        <v/>
      </c>
      <c r="I229">
        <f>VLOOKUP(D229,Клиенты!$A$2:$D$1000,2,0)</f>
        <v/>
      </c>
      <c r="J229">
        <f>IF(AND(H229="Kaptur",I229="Окраинов Л.Г.",YEAR(B229)=2020),E229,0)</f>
        <v/>
      </c>
    </row>
    <row r="230">
      <c r="A230" s="6" t="n">
        <v>229</v>
      </c>
      <c r="B230" s="13" t="n">
        <v>43888</v>
      </c>
      <c r="C230" s="6" t="inlineStr">
        <is>
          <t>A21</t>
        </is>
      </c>
      <c r="D230" s="6" t="n">
        <v>14</v>
      </c>
      <c r="E230" s="15" t="n">
        <v>329</v>
      </c>
      <c r="F230" s="5" t="inlineStr">
        <is>
          <t>нет</t>
        </is>
      </c>
      <c r="H230">
        <f>VLOOKUP(C230,Автомобили!$A$2:$G$1000,3,0)</f>
        <v/>
      </c>
      <c r="I230">
        <f>VLOOKUP(D230,Клиенты!$A$2:$D$1000,2,0)</f>
        <v/>
      </c>
      <c r="J230">
        <f>IF(AND(H230="Kaptur",I230="Окраинов Л.Г.",YEAR(B230)=2020),E230,0)</f>
        <v/>
      </c>
    </row>
    <row r="231">
      <c r="A231" s="6" t="n">
        <v>230</v>
      </c>
      <c r="B231" s="13" t="n">
        <v>43888</v>
      </c>
      <c r="C231" s="6" t="inlineStr">
        <is>
          <t>A12</t>
        </is>
      </c>
      <c r="D231" s="6" t="n">
        <v>5</v>
      </c>
      <c r="E231" s="15" t="n">
        <v>306</v>
      </c>
      <c r="F231" s="5" t="inlineStr">
        <is>
          <t>нет</t>
        </is>
      </c>
      <c r="H231">
        <f>VLOOKUP(C231,Автомобили!$A$2:$G$1000,3,0)</f>
        <v/>
      </c>
      <c r="I231">
        <f>VLOOKUP(D231,Клиенты!$A$2:$D$1000,2,0)</f>
        <v/>
      </c>
      <c r="J231">
        <f>IF(AND(H231="Kaptur",I231="Окраинов Л.Г.",YEAR(B231)=2020),E231,0)</f>
        <v/>
      </c>
    </row>
    <row r="232">
      <c r="A232" s="6" t="n">
        <v>231</v>
      </c>
      <c r="B232" s="13" t="n">
        <v>43888</v>
      </c>
      <c r="C232" s="6" t="inlineStr">
        <is>
          <t>A40</t>
        </is>
      </c>
      <c r="D232" s="6" t="n">
        <v>8</v>
      </c>
      <c r="E232" s="15" t="n">
        <v>219</v>
      </c>
      <c r="F232" s="5" t="inlineStr">
        <is>
          <t>нет</t>
        </is>
      </c>
      <c r="H232">
        <f>VLOOKUP(C232,Автомобили!$A$2:$G$1000,3,0)</f>
        <v/>
      </c>
      <c r="I232">
        <f>VLOOKUP(D232,Клиенты!$A$2:$D$1000,2,0)</f>
        <v/>
      </c>
      <c r="J232">
        <f>IF(AND(H232="Kaptur",I232="Окраинов Л.Г.",YEAR(B232)=2020),E232,0)</f>
        <v/>
      </c>
    </row>
    <row r="233">
      <c r="A233" s="6" t="n">
        <v>232</v>
      </c>
      <c r="B233" s="13" t="n">
        <v>43888</v>
      </c>
      <c r="C233" s="6" t="inlineStr">
        <is>
          <t>A60</t>
        </is>
      </c>
      <c r="D233" s="6" t="n">
        <v>9</v>
      </c>
      <c r="E233" s="15" t="n">
        <v>449</v>
      </c>
      <c r="F233" s="5" t="inlineStr">
        <is>
          <t>нет</t>
        </is>
      </c>
      <c r="H233">
        <f>VLOOKUP(C233,Автомобили!$A$2:$G$1000,3,0)</f>
        <v/>
      </c>
      <c r="I233">
        <f>VLOOKUP(D233,Клиенты!$A$2:$D$1000,2,0)</f>
        <v/>
      </c>
      <c r="J233">
        <f>IF(AND(H233="Kaptur",I233="Окраинов Л.Г.",YEAR(B233)=2020),E233,0)</f>
        <v/>
      </c>
    </row>
    <row r="234">
      <c r="A234" s="6" t="n">
        <v>233</v>
      </c>
      <c r="B234" s="13" t="n">
        <v>43889</v>
      </c>
      <c r="C234" s="6" t="inlineStr">
        <is>
          <t>A54</t>
        </is>
      </c>
      <c r="D234" s="6" t="n">
        <v>7</v>
      </c>
      <c r="E234" s="15" t="n">
        <v>189</v>
      </c>
      <c r="F234" s="5" t="inlineStr">
        <is>
          <t>нет</t>
        </is>
      </c>
      <c r="H234">
        <f>VLOOKUP(C234,Автомобили!$A$2:$G$1000,3,0)</f>
        <v/>
      </c>
      <c r="I234">
        <f>VLOOKUP(D234,Клиенты!$A$2:$D$1000,2,0)</f>
        <v/>
      </c>
      <c r="J234">
        <f>IF(AND(H234="Kaptur",I234="Окраинов Л.Г.",YEAR(B234)=2020),E234,0)</f>
        <v/>
      </c>
    </row>
    <row r="235">
      <c r="A235" s="6" t="n">
        <v>234</v>
      </c>
      <c r="B235" s="13" t="n">
        <v>43889</v>
      </c>
      <c r="C235" s="6" t="inlineStr">
        <is>
          <t>A63</t>
        </is>
      </c>
      <c r="D235" s="6" t="n">
        <v>10</v>
      </c>
      <c r="E235" s="15" t="n">
        <v>178</v>
      </c>
      <c r="F235" s="5" t="inlineStr">
        <is>
          <t>нет</t>
        </is>
      </c>
      <c r="H235">
        <f>VLOOKUP(C235,Автомобили!$A$2:$G$1000,3,0)</f>
        <v/>
      </c>
      <c r="I235">
        <f>VLOOKUP(D235,Клиенты!$A$2:$D$1000,2,0)</f>
        <v/>
      </c>
      <c r="J235">
        <f>IF(AND(H235="Kaptur",I235="Окраинов Л.Г.",YEAR(B235)=2020),E235,0)</f>
        <v/>
      </c>
    </row>
    <row r="236">
      <c r="A236" s="6" t="n">
        <v>235</v>
      </c>
      <c r="B236" s="13" t="n">
        <v>43889</v>
      </c>
      <c r="C236" s="6" t="inlineStr">
        <is>
          <t>A57</t>
        </is>
      </c>
      <c r="D236" s="6" t="n">
        <v>15</v>
      </c>
      <c r="E236" s="15" t="n">
        <v>205</v>
      </c>
      <c r="F236" s="5" t="inlineStr">
        <is>
          <t>нет</t>
        </is>
      </c>
      <c r="H236">
        <f>VLOOKUP(C236,Автомобили!$A$2:$G$1000,3,0)</f>
        <v/>
      </c>
      <c r="I236">
        <f>VLOOKUP(D236,Клиенты!$A$2:$D$1000,2,0)</f>
        <v/>
      </c>
      <c r="J236">
        <f>IF(AND(H236="Kaptur",I236="Окраинов Л.Г.",YEAR(B236)=2020),E236,0)</f>
        <v/>
      </c>
    </row>
    <row r="237">
      <c r="A237" s="6" t="n">
        <v>236</v>
      </c>
      <c r="B237" s="13" t="n">
        <v>43889</v>
      </c>
      <c r="C237" s="6" t="inlineStr">
        <is>
          <t>A60</t>
        </is>
      </c>
      <c r="D237" s="6" t="n">
        <v>11</v>
      </c>
      <c r="E237" s="15" t="n">
        <v>252</v>
      </c>
      <c r="F237" s="5" t="inlineStr">
        <is>
          <t>нет</t>
        </is>
      </c>
      <c r="H237">
        <f>VLOOKUP(C237,Автомобили!$A$2:$G$1000,3,0)</f>
        <v/>
      </c>
      <c r="I237">
        <f>VLOOKUP(D237,Клиенты!$A$2:$D$1000,2,0)</f>
        <v/>
      </c>
      <c r="J237">
        <f>IF(AND(H237="Kaptur",I237="Окраинов Л.Г.",YEAR(B237)=2020),E237,0)</f>
        <v/>
      </c>
    </row>
    <row r="238">
      <c r="A238" s="6" t="n">
        <v>237</v>
      </c>
      <c r="B238" s="13" t="n">
        <v>43890</v>
      </c>
      <c r="C238" s="6" t="inlineStr">
        <is>
          <t>A45</t>
        </is>
      </c>
      <c r="D238" s="6" t="n">
        <v>4</v>
      </c>
      <c r="E238" s="15" t="n">
        <v>322</v>
      </c>
      <c r="F238" s="5" t="inlineStr">
        <is>
          <t>нет</t>
        </is>
      </c>
      <c r="H238">
        <f>VLOOKUP(C238,Автомобили!$A$2:$G$1000,3,0)</f>
        <v/>
      </c>
      <c r="I238">
        <f>VLOOKUP(D238,Клиенты!$A$2:$D$1000,2,0)</f>
        <v/>
      </c>
      <c r="J238">
        <f>IF(AND(H238="Kaptur",I238="Окраинов Л.Г.",YEAR(B238)=2020),E238,0)</f>
        <v/>
      </c>
    </row>
    <row r="239">
      <c r="A239" s="6" t="n">
        <v>238</v>
      </c>
      <c r="B239" s="13" t="n">
        <v>43890</v>
      </c>
      <c r="C239" s="6" t="inlineStr">
        <is>
          <t>A31</t>
        </is>
      </c>
      <c r="D239" s="6" t="n">
        <v>4</v>
      </c>
      <c r="E239" s="15" t="n">
        <v>267</v>
      </c>
      <c r="F239" s="5" t="inlineStr">
        <is>
          <t>нет</t>
        </is>
      </c>
      <c r="H239">
        <f>VLOOKUP(C239,Автомобили!$A$2:$G$1000,3,0)</f>
        <v/>
      </c>
      <c r="I239">
        <f>VLOOKUP(D239,Клиенты!$A$2:$D$1000,2,0)</f>
        <v/>
      </c>
      <c r="J239">
        <f>IF(AND(H239="Kaptur",I239="Окраинов Л.Г.",YEAR(B239)=2020),E239,0)</f>
        <v/>
      </c>
    </row>
    <row r="240">
      <c r="A240" s="6" t="n">
        <v>239</v>
      </c>
      <c r="B240" s="13" t="n">
        <v>43890</v>
      </c>
      <c r="C240" s="6" t="inlineStr">
        <is>
          <t>A64</t>
        </is>
      </c>
      <c r="D240" s="6" t="n">
        <v>2</v>
      </c>
      <c r="E240" s="15" t="n">
        <v>219</v>
      </c>
      <c r="F240" s="5" t="inlineStr">
        <is>
          <t>нет</t>
        </is>
      </c>
      <c r="H240">
        <f>VLOOKUP(C240,Автомобили!$A$2:$G$1000,3,0)</f>
        <v/>
      </c>
      <c r="I240">
        <f>VLOOKUP(D240,Клиенты!$A$2:$D$1000,2,0)</f>
        <v/>
      </c>
      <c r="J240">
        <f>IF(AND(H240="Kaptur",I240="Окраинов Л.Г.",YEAR(B240)=2020),E240,0)</f>
        <v/>
      </c>
    </row>
    <row r="241">
      <c r="A241" s="6" t="n">
        <v>240</v>
      </c>
      <c r="B241" s="13" t="n">
        <v>43890</v>
      </c>
      <c r="C241" s="6" t="inlineStr">
        <is>
          <t>A8</t>
        </is>
      </c>
      <c r="D241" s="6" t="n">
        <v>2</v>
      </c>
      <c r="E241" s="15" t="n">
        <v>236</v>
      </c>
      <c r="F241" s="5" t="inlineStr">
        <is>
          <t>нет</t>
        </is>
      </c>
      <c r="H241">
        <f>VLOOKUP(C241,Автомобили!$A$2:$G$1000,3,0)</f>
        <v/>
      </c>
      <c r="I241">
        <f>VLOOKUP(D241,Клиенты!$A$2:$D$1000,2,0)</f>
        <v/>
      </c>
      <c r="J241">
        <f>IF(AND(H241="Kaptur",I241="Окраинов Л.Г.",YEAR(B241)=2020),E241,0)</f>
        <v/>
      </c>
    </row>
    <row r="242">
      <c r="A242" s="6" t="n">
        <v>241</v>
      </c>
      <c r="B242" s="13" t="n">
        <v>43891</v>
      </c>
      <c r="C242" s="6" t="inlineStr">
        <is>
          <t>A3</t>
        </is>
      </c>
      <c r="D242" s="6" t="n">
        <v>4</v>
      </c>
      <c r="E242" s="15" t="n">
        <v>288</v>
      </c>
      <c r="F242" s="5" t="inlineStr">
        <is>
          <t>нет</t>
        </is>
      </c>
      <c r="H242">
        <f>VLOOKUP(C242,Автомобили!$A$2:$G$1000,3,0)</f>
        <v/>
      </c>
      <c r="I242">
        <f>VLOOKUP(D242,Клиенты!$A$2:$D$1000,2,0)</f>
        <v/>
      </c>
      <c r="J242">
        <f>IF(AND(H242="Kaptur",I242="Окраинов Л.Г.",YEAR(B242)=2020),E242,0)</f>
        <v/>
      </c>
    </row>
    <row r="243">
      <c r="A243" s="6" t="n">
        <v>242</v>
      </c>
      <c r="B243" s="13" t="n">
        <v>43891</v>
      </c>
      <c r="C243" s="6" t="inlineStr">
        <is>
          <t>A40</t>
        </is>
      </c>
      <c r="D243" s="6" t="n">
        <v>12</v>
      </c>
      <c r="E243" s="15" t="n">
        <v>97</v>
      </c>
      <c r="F243" s="5" t="inlineStr">
        <is>
          <t>нет</t>
        </is>
      </c>
      <c r="H243">
        <f>VLOOKUP(C243,Автомобили!$A$2:$G$1000,3,0)</f>
        <v/>
      </c>
      <c r="I243">
        <f>VLOOKUP(D243,Клиенты!$A$2:$D$1000,2,0)</f>
        <v/>
      </c>
      <c r="J243">
        <f>IF(AND(H243="Kaptur",I243="Окраинов Л.Г.",YEAR(B243)=2020),E243,0)</f>
        <v/>
      </c>
    </row>
    <row r="244">
      <c r="A244" s="6" t="n">
        <v>243</v>
      </c>
      <c r="B244" s="13" t="n">
        <v>43891</v>
      </c>
      <c r="C244" s="6" t="inlineStr">
        <is>
          <t>A14</t>
        </is>
      </c>
      <c r="D244" s="6" t="n">
        <v>6</v>
      </c>
      <c r="E244" s="15" t="n">
        <v>104</v>
      </c>
      <c r="F244" s="5" t="inlineStr">
        <is>
          <t>нет</t>
        </is>
      </c>
      <c r="H244">
        <f>VLOOKUP(C244,Автомобили!$A$2:$G$1000,3,0)</f>
        <v/>
      </c>
      <c r="I244">
        <f>VLOOKUP(D244,Клиенты!$A$2:$D$1000,2,0)</f>
        <v/>
      </c>
      <c r="J244">
        <f>IF(AND(H244="Kaptur",I244="Окраинов Л.Г.",YEAR(B244)=2020),E244,0)</f>
        <v/>
      </c>
    </row>
    <row r="245">
      <c r="A245" s="6" t="n">
        <v>244</v>
      </c>
      <c r="B245" s="13" t="n">
        <v>43891</v>
      </c>
      <c r="C245" s="6" t="inlineStr">
        <is>
          <t>A3</t>
        </is>
      </c>
      <c r="D245" s="6" t="n">
        <v>9</v>
      </c>
      <c r="E245" s="15" t="n">
        <v>341</v>
      </c>
      <c r="F245" s="5" t="inlineStr">
        <is>
          <t>нет</t>
        </is>
      </c>
      <c r="H245">
        <f>VLOOKUP(C245,Автомобили!$A$2:$G$1000,3,0)</f>
        <v/>
      </c>
      <c r="I245">
        <f>VLOOKUP(D245,Клиенты!$A$2:$D$1000,2,0)</f>
        <v/>
      </c>
      <c r="J245">
        <f>IF(AND(H245="Kaptur",I245="Окраинов Л.Г.",YEAR(B245)=2020),E245,0)</f>
        <v/>
      </c>
    </row>
    <row r="246">
      <c r="A246" s="6" t="n">
        <v>245</v>
      </c>
      <c r="B246" s="13" t="n">
        <v>43892</v>
      </c>
      <c r="C246" s="6" t="inlineStr">
        <is>
          <t>A58</t>
        </is>
      </c>
      <c r="D246" s="6" t="n">
        <v>15</v>
      </c>
      <c r="E246" s="15" t="n">
        <v>431</v>
      </c>
      <c r="F246" s="5" t="inlineStr">
        <is>
          <t>нет</t>
        </is>
      </c>
      <c r="H246">
        <f>VLOOKUP(C246,Автомобили!$A$2:$G$1000,3,0)</f>
        <v/>
      </c>
      <c r="I246">
        <f>VLOOKUP(D246,Клиенты!$A$2:$D$1000,2,0)</f>
        <v/>
      </c>
      <c r="J246">
        <f>IF(AND(H246="Kaptur",I246="Окраинов Л.Г.",YEAR(B246)=2020),E246,0)</f>
        <v/>
      </c>
    </row>
    <row r="247">
      <c r="A247" s="6" t="n">
        <v>246</v>
      </c>
      <c r="B247" s="13" t="n">
        <v>43892</v>
      </c>
      <c r="C247" s="6" t="inlineStr">
        <is>
          <t>A59</t>
        </is>
      </c>
      <c r="D247" s="6" t="n">
        <v>6</v>
      </c>
      <c r="E247" s="15" t="n">
        <v>205</v>
      </c>
      <c r="F247" s="5" t="inlineStr">
        <is>
          <t>нет</t>
        </is>
      </c>
      <c r="H247">
        <f>VLOOKUP(C247,Автомобили!$A$2:$G$1000,3,0)</f>
        <v/>
      </c>
      <c r="I247">
        <f>VLOOKUP(D247,Клиенты!$A$2:$D$1000,2,0)</f>
        <v/>
      </c>
      <c r="J247">
        <f>IF(AND(H247="Kaptur",I247="Окраинов Л.Г.",YEAR(B247)=2020),E247,0)</f>
        <v/>
      </c>
    </row>
    <row r="248">
      <c r="A248" s="6" t="n">
        <v>247</v>
      </c>
      <c r="B248" s="13" t="n">
        <v>43892</v>
      </c>
      <c r="C248" s="6" t="inlineStr">
        <is>
          <t>A13</t>
        </is>
      </c>
      <c r="D248" s="6" t="n">
        <v>14</v>
      </c>
      <c r="E248" s="15" t="n">
        <v>169</v>
      </c>
      <c r="F248" s="5" t="inlineStr">
        <is>
          <t>нет</t>
        </is>
      </c>
      <c r="H248">
        <f>VLOOKUP(C248,Автомобили!$A$2:$G$1000,3,0)</f>
        <v/>
      </c>
      <c r="I248">
        <f>VLOOKUP(D248,Клиенты!$A$2:$D$1000,2,0)</f>
        <v/>
      </c>
      <c r="J248">
        <f>IF(AND(H248="Kaptur",I248="Окраинов Л.Г.",YEAR(B248)=2020),E248,0)</f>
        <v/>
      </c>
    </row>
    <row r="249">
      <c r="A249" s="6" t="n">
        <v>248</v>
      </c>
      <c r="B249" s="13" t="n">
        <v>43892</v>
      </c>
      <c r="C249" s="6" t="inlineStr">
        <is>
          <t>A56</t>
        </is>
      </c>
      <c r="D249" s="6" t="n">
        <v>9</v>
      </c>
      <c r="E249" s="15" t="n">
        <v>279</v>
      </c>
      <c r="F249" s="5" t="inlineStr">
        <is>
          <t>нет</t>
        </is>
      </c>
      <c r="H249">
        <f>VLOOKUP(C249,Автомобили!$A$2:$G$1000,3,0)</f>
        <v/>
      </c>
      <c r="I249">
        <f>VLOOKUP(D249,Клиенты!$A$2:$D$1000,2,0)</f>
        <v/>
      </c>
      <c r="J249">
        <f>IF(AND(H249="Kaptur",I249="Окраинов Л.Г.",YEAR(B249)=2020),E249,0)</f>
        <v/>
      </c>
    </row>
    <row r="250">
      <c r="A250" s="6" t="n">
        <v>249</v>
      </c>
      <c r="B250" s="13" t="n">
        <v>43893</v>
      </c>
      <c r="C250" s="6" t="inlineStr">
        <is>
          <t>A47</t>
        </is>
      </c>
      <c r="D250" s="6" t="n">
        <v>1</v>
      </c>
      <c r="E250" s="15" t="n">
        <v>313</v>
      </c>
      <c r="F250" s="5" t="inlineStr">
        <is>
          <t>нет</t>
        </is>
      </c>
      <c r="H250">
        <f>VLOOKUP(C250,Автомобили!$A$2:$G$1000,3,0)</f>
        <v/>
      </c>
      <c r="I250">
        <f>VLOOKUP(D250,Клиенты!$A$2:$D$1000,2,0)</f>
        <v/>
      </c>
      <c r="J250">
        <f>IF(AND(H250="Kaptur",I250="Окраинов Л.Г.",YEAR(B250)=2020),E250,0)</f>
        <v/>
      </c>
    </row>
    <row r="251">
      <c r="A251" s="6" t="n">
        <v>250</v>
      </c>
      <c r="B251" s="13" t="n">
        <v>43893</v>
      </c>
      <c r="C251" s="6" t="inlineStr">
        <is>
          <t>A24</t>
        </is>
      </c>
      <c r="D251" s="6" t="n">
        <v>13</v>
      </c>
      <c r="E251" s="15" t="n">
        <v>294</v>
      </c>
      <c r="F251" s="5" t="inlineStr">
        <is>
          <t>нет</t>
        </is>
      </c>
      <c r="H251">
        <f>VLOOKUP(C251,Автомобили!$A$2:$G$1000,3,0)</f>
        <v/>
      </c>
      <c r="I251">
        <f>VLOOKUP(D251,Клиенты!$A$2:$D$1000,2,0)</f>
        <v/>
      </c>
      <c r="J251">
        <f>IF(AND(H251="Kaptur",I251="Окраинов Л.Г.",YEAR(B251)=2020),E251,0)</f>
        <v/>
      </c>
    </row>
    <row r="252">
      <c r="A252" s="6" t="n">
        <v>251</v>
      </c>
      <c r="B252" s="13" t="n">
        <v>43893</v>
      </c>
      <c r="C252" s="6" t="inlineStr">
        <is>
          <t>A58</t>
        </is>
      </c>
      <c r="D252" s="6" t="n">
        <v>7</v>
      </c>
      <c r="E252" s="15" t="n">
        <v>390</v>
      </c>
      <c r="F252" s="5" t="inlineStr">
        <is>
          <t>нет</t>
        </is>
      </c>
      <c r="H252">
        <f>VLOOKUP(C252,Автомобили!$A$2:$G$1000,3,0)</f>
        <v/>
      </c>
      <c r="I252">
        <f>VLOOKUP(D252,Клиенты!$A$2:$D$1000,2,0)</f>
        <v/>
      </c>
      <c r="J252">
        <f>IF(AND(H252="Kaptur",I252="Окраинов Л.Г.",YEAR(B252)=2020),E252,0)</f>
        <v/>
      </c>
    </row>
    <row r="253">
      <c r="A253" s="6" t="n">
        <v>252</v>
      </c>
      <c r="B253" s="13" t="n">
        <v>43893</v>
      </c>
      <c r="C253" s="6" t="inlineStr">
        <is>
          <t>A13</t>
        </is>
      </c>
      <c r="D253" s="6" t="n">
        <v>9</v>
      </c>
      <c r="E253" s="15" t="n">
        <v>410</v>
      </c>
      <c r="F253" s="5" t="inlineStr">
        <is>
          <t>нет</t>
        </is>
      </c>
      <c r="H253">
        <f>VLOOKUP(C253,Автомобили!$A$2:$G$1000,3,0)</f>
        <v/>
      </c>
      <c r="I253">
        <f>VLOOKUP(D253,Клиенты!$A$2:$D$1000,2,0)</f>
        <v/>
      </c>
      <c r="J253">
        <f>IF(AND(H253="Kaptur",I253="Окраинов Л.Г.",YEAR(B253)=2020),E253,0)</f>
        <v/>
      </c>
    </row>
    <row r="254">
      <c r="A254" s="6" t="n">
        <v>253</v>
      </c>
      <c r="B254" s="13" t="n">
        <v>43894</v>
      </c>
      <c r="C254" s="6" t="inlineStr">
        <is>
          <t>A53</t>
        </is>
      </c>
      <c r="D254" s="6" t="n">
        <v>4</v>
      </c>
      <c r="E254" s="15" t="n">
        <v>76</v>
      </c>
      <c r="F254" s="5" t="inlineStr">
        <is>
          <t>нет</t>
        </is>
      </c>
      <c r="H254">
        <f>VLOOKUP(C254,Автомобили!$A$2:$G$1000,3,0)</f>
        <v/>
      </c>
      <c r="I254">
        <f>VLOOKUP(D254,Клиенты!$A$2:$D$1000,2,0)</f>
        <v/>
      </c>
      <c r="J254">
        <f>IF(AND(H254="Kaptur",I254="Окраинов Л.Г.",YEAR(B254)=2020),E254,0)</f>
        <v/>
      </c>
    </row>
    <row r="255">
      <c r="A255" s="6" t="n">
        <v>254</v>
      </c>
      <c r="B255" s="13" t="n">
        <v>43894</v>
      </c>
      <c r="C255" s="6" t="inlineStr">
        <is>
          <t>A2</t>
        </is>
      </c>
      <c r="D255" s="6" t="n">
        <v>9</v>
      </c>
      <c r="E255" s="15" t="n">
        <v>223</v>
      </c>
      <c r="F255" s="5" t="inlineStr">
        <is>
          <t>нет</t>
        </is>
      </c>
      <c r="H255">
        <f>VLOOKUP(C255,Автомобили!$A$2:$G$1000,3,0)</f>
        <v/>
      </c>
      <c r="I255">
        <f>VLOOKUP(D255,Клиенты!$A$2:$D$1000,2,0)</f>
        <v/>
      </c>
      <c r="J255">
        <f>IF(AND(H255="Kaptur",I255="Окраинов Л.Г.",YEAR(B255)=2020),E255,0)</f>
        <v/>
      </c>
    </row>
    <row r="256">
      <c r="A256" s="6" t="n">
        <v>255</v>
      </c>
      <c r="B256" s="13" t="n">
        <v>43894</v>
      </c>
      <c r="C256" s="6" t="inlineStr">
        <is>
          <t>A65</t>
        </is>
      </c>
      <c r="D256" s="6" t="n">
        <v>8</v>
      </c>
      <c r="E256" s="15" t="n">
        <v>205</v>
      </c>
      <c r="F256" s="5" t="inlineStr">
        <is>
          <t>нет</t>
        </is>
      </c>
      <c r="H256">
        <f>VLOOKUP(C256,Автомобили!$A$2:$G$1000,3,0)</f>
        <v/>
      </c>
      <c r="I256">
        <f>VLOOKUP(D256,Клиенты!$A$2:$D$1000,2,0)</f>
        <v/>
      </c>
      <c r="J256">
        <f>IF(AND(H256="Kaptur",I256="Окраинов Л.Г.",YEAR(B256)=2020),E256,0)</f>
        <v/>
      </c>
    </row>
    <row r="257">
      <c r="A257" s="6" t="n">
        <v>256</v>
      </c>
      <c r="B257" s="13" t="n">
        <v>43894</v>
      </c>
      <c r="C257" s="6" t="inlineStr">
        <is>
          <t>A59</t>
        </is>
      </c>
      <c r="D257" s="6" t="n">
        <v>12</v>
      </c>
      <c r="E257" s="15" t="n">
        <v>433</v>
      </c>
      <c r="F257" s="5" t="inlineStr">
        <is>
          <t>нет</t>
        </is>
      </c>
      <c r="H257">
        <f>VLOOKUP(C257,Автомобили!$A$2:$G$1000,3,0)</f>
        <v/>
      </c>
      <c r="I257">
        <f>VLOOKUP(D257,Клиенты!$A$2:$D$1000,2,0)</f>
        <v/>
      </c>
      <c r="J257">
        <f>IF(AND(H257="Kaptur",I257="Окраинов Л.Г.",YEAR(B257)=2020),E257,0)</f>
        <v/>
      </c>
    </row>
    <row r="258">
      <c r="A258" s="6" t="n">
        <v>257</v>
      </c>
      <c r="B258" s="13" t="n">
        <v>43895</v>
      </c>
      <c r="C258" s="6" t="inlineStr">
        <is>
          <t>A52</t>
        </is>
      </c>
      <c r="D258" s="6" t="n">
        <v>7</v>
      </c>
      <c r="E258" s="15" t="n">
        <v>301</v>
      </c>
      <c r="F258" s="5" t="inlineStr">
        <is>
          <t>нет</t>
        </is>
      </c>
      <c r="H258">
        <f>VLOOKUP(C258,Автомобили!$A$2:$G$1000,3,0)</f>
        <v/>
      </c>
      <c r="I258">
        <f>VLOOKUP(D258,Клиенты!$A$2:$D$1000,2,0)</f>
        <v/>
      </c>
      <c r="J258">
        <f>IF(AND(H258="Kaptur",I258="Окраинов Л.Г.",YEAR(B258)=2020),E258,0)</f>
        <v/>
      </c>
    </row>
    <row r="259">
      <c r="A259" s="6" t="n">
        <v>258</v>
      </c>
      <c r="B259" s="13" t="n">
        <v>43895</v>
      </c>
      <c r="C259" s="6" t="inlineStr">
        <is>
          <t>A52</t>
        </is>
      </c>
      <c r="D259" s="6" t="n">
        <v>5</v>
      </c>
      <c r="E259" s="15" t="n">
        <v>234</v>
      </c>
      <c r="F259" s="5" t="inlineStr">
        <is>
          <t>нет</t>
        </is>
      </c>
      <c r="H259">
        <f>VLOOKUP(C259,Автомобили!$A$2:$G$1000,3,0)</f>
        <v/>
      </c>
      <c r="I259">
        <f>VLOOKUP(D259,Клиенты!$A$2:$D$1000,2,0)</f>
        <v/>
      </c>
      <c r="J259">
        <f>IF(AND(H259="Kaptur",I259="Окраинов Л.Г.",YEAR(B259)=2020),E259,0)</f>
        <v/>
      </c>
    </row>
    <row r="260">
      <c r="A260" s="6" t="n">
        <v>259</v>
      </c>
      <c r="B260" s="13" t="n">
        <v>43895</v>
      </c>
      <c r="C260" s="6" t="inlineStr">
        <is>
          <t>A32</t>
        </is>
      </c>
      <c r="D260" s="6" t="n">
        <v>7</v>
      </c>
      <c r="E260" s="15" t="n">
        <v>267</v>
      </c>
      <c r="F260" s="5" t="inlineStr">
        <is>
          <t>нет</t>
        </is>
      </c>
      <c r="H260">
        <f>VLOOKUP(C260,Автомобили!$A$2:$G$1000,3,0)</f>
        <v/>
      </c>
      <c r="I260">
        <f>VLOOKUP(D260,Клиенты!$A$2:$D$1000,2,0)</f>
        <v/>
      </c>
      <c r="J260">
        <f>IF(AND(H260="Kaptur",I260="Окраинов Л.Г.",YEAR(B260)=2020),E260,0)</f>
        <v/>
      </c>
    </row>
    <row r="261">
      <c r="A261" s="6" t="n">
        <v>260</v>
      </c>
      <c r="B261" s="13" t="n">
        <v>43895</v>
      </c>
      <c r="C261" s="6" t="inlineStr">
        <is>
          <t>A65</t>
        </is>
      </c>
      <c r="D261" s="6" t="n">
        <v>6</v>
      </c>
      <c r="E261" s="15" t="n">
        <v>431</v>
      </c>
      <c r="F261" s="5" t="inlineStr">
        <is>
          <t>к клиенту</t>
        </is>
      </c>
      <c r="H261">
        <f>VLOOKUP(C261,Автомобили!$A$2:$G$1000,3,0)</f>
        <v/>
      </c>
      <c r="I261">
        <f>VLOOKUP(D261,Клиенты!$A$2:$D$1000,2,0)</f>
        <v/>
      </c>
      <c r="J261">
        <f>IF(AND(H261="Kaptur",I261="Окраинов Л.Г.",YEAR(B261)=2020),E261,0)</f>
        <v/>
      </c>
    </row>
    <row r="262">
      <c r="A262" s="6" t="n">
        <v>261</v>
      </c>
      <c r="B262" s="13" t="n">
        <v>43896</v>
      </c>
      <c r="C262" s="6" t="inlineStr">
        <is>
          <t>A23</t>
        </is>
      </c>
      <c r="D262" s="6" t="n">
        <v>2</v>
      </c>
      <c r="E262" s="15" t="n">
        <v>367</v>
      </c>
      <c r="F262" s="5" t="inlineStr">
        <is>
          <t>нет</t>
        </is>
      </c>
      <c r="H262">
        <f>VLOOKUP(C262,Автомобили!$A$2:$G$1000,3,0)</f>
        <v/>
      </c>
      <c r="I262">
        <f>VLOOKUP(D262,Клиенты!$A$2:$D$1000,2,0)</f>
        <v/>
      </c>
      <c r="J262">
        <f>IF(AND(H262="Kaptur",I262="Окраинов Л.Г.",YEAR(B262)=2020),E262,0)</f>
        <v/>
      </c>
    </row>
    <row r="263">
      <c r="A263" s="6" t="n">
        <v>262</v>
      </c>
      <c r="B263" s="13" t="n">
        <v>43896</v>
      </c>
      <c r="C263" s="6" t="inlineStr">
        <is>
          <t>A22</t>
        </is>
      </c>
      <c r="D263" s="6" t="n">
        <v>3</v>
      </c>
      <c r="E263" s="15" t="n">
        <v>283</v>
      </c>
      <c r="F263" s="5" t="inlineStr">
        <is>
          <t>нет</t>
        </is>
      </c>
      <c r="H263">
        <f>VLOOKUP(C263,Автомобили!$A$2:$G$1000,3,0)</f>
        <v/>
      </c>
      <c r="I263">
        <f>VLOOKUP(D263,Клиенты!$A$2:$D$1000,2,0)</f>
        <v/>
      </c>
      <c r="J263">
        <f>IF(AND(H263="Kaptur",I263="Окраинов Л.Г.",YEAR(B263)=2020),E263,0)</f>
        <v/>
      </c>
    </row>
    <row r="264">
      <c r="A264" s="6" t="n">
        <v>263</v>
      </c>
      <c r="B264" s="13" t="n">
        <v>43896</v>
      </c>
      <c r="C264" s="6" t="inlineStr">
        <is>
          <t>A31</t>
        </is>
      </c>
      <c r="D264" s="6" t="n">
        <v>12</v>
      </c>
      <c r="E264" s="15" t="n">
        <v>210</v>
      </c>
      <c r="F264" s="5" t="inlineStr">
        <is>
          <t>нет</t>
        </is>
      </c>
      <c r="H264">
        <f>VLOOKUP(C264,Автомобили!$A$2:$G$1000,3,0)</f>
        <v/>
      </c>
      <c r="I264">
        <f>VLOOKUP(D264,Клиенты!$A$2:$D$1000,2,0)</f>
        <v/>
      </c>
      <c r="J264">
        <f>IF(AND(H264="Kaptur",I264="Окраинов Л.Г.",YEAR(B264)=2020),E264,0)</f>
        <v/>
      </c>
    </row>
    <row r="265">
      <c r="A265" s="6" t="n">
        <v>264</v>
      </c>
      <c r="B265" s="13" t="n">
        <v>43896</v>
      </c>
      <c r="C265" s="6" t="inlineStr">
        <is>
          <t>A5</t>
        </is>
      </c>
      <c r="D265" s="6" t="n">
        <v>12</v>
      </c>
      <c r="E265" s="15" t="n">
        <v>367</v>
      </c>
      <c r="F265" s="5" t="inlineStr">
        <is>
          <t>нет</t>
        </is>
      </c>
      <c r="H265">
        <f>VLOOKUP(C265,Автомобили!$A$2:$G$1000,3,0)</f>
        <v/>
      </c>
      <c r="I265">
        <f>VLOOKUP(D265,Клиенты!$A$2:$D$1000,2,0)</f>
        <v/>
      </c>
      <c r="J265">
        <f>IF(AND(H265="Kaptur",I265="Окраинов Л.Г.",YEAR(B265)=2020),E265,0)</f>
        <v/>
      </c>
    </row>
    <row r="266">
      <c r="A266" s="6" t="n">
        <v>265</v>
      </c>
      <c r="B266" s="13" t="n">
        <v>43897</v>
      </c>
      <c r="C266" s="6" t="inlineStr">
        <is>
          <t>A5</t>
        </is>
      </c>
      <c r="D266" s="6" t="n">
        <v>5</v>
      </c>
      <c r="E266" s="15" t="n">
        <v>385</v>
      </c>
      <c r="F266" s="5" t="inlineStr">
        <is>
          <t>нет</t>
        </is>
      </c>
      <c r="H266">
        <f>VLOOKUP(C266,Автомобили!$A$2:$G$1000,3,0)</f>
        <v/>
      </c>
      <c r="I266">
        <f>VLOOKUP(D266,Клиенты!$A$2:$D$1000,2,0)</f>
        <v/>
      </c>
      <c r="J266">
        <f>IF(AND(H266="Kaptur",I266="Окраинов Л.Г.",YEAR(B266)=2020),E266,0)</f>
        <v/>
      </c>
    </row>
    <row r="267">
      <c r="A267" s="6" t="n">
        <v>266</v>
      </c>
      <c r="B267" s="13" t="n">
        <v>43897</v>
      </c>
      <c r="C267" s="6" t="inlineStr">
        <is>
          <t>A45</t>
        </is>
      </c>
      <c r="D267" s="6" t="n">
        <v>13</v>
      </c>
      <c r="E267" s="15" t="n">
        <v>433</v>
      </c>
      <c r="F267" s="5" t="inlineStr">
        <is>
          <t>нет</t>
        </is>
      </c>
      <c r="H267">
        <f>VLOOKUP(C267,Автомобили!$A$2:$G$1000,3,0)</f>
        <v/>
      </c>
      <c r="I267">
        <f>VLOOKUP(D267,Клиенты!$A$2:$D$1000,2,0)</f>
        <v/>
      </c>
      <c r="J267">
        <f>IF(AND(H267="Kaptur",I267="Окраинов Л.Г.",YEAR(B267)=2020),E267,0)</f>
        <v/>
      </c>
    </row>
    <row r="268">
      <c r="A268" s="6" t="n">
        <v>267</v>
      </c>
      <c r="B268" s="13" t="n">
        <v>43897</v>
      </c>
      <c r="C268" s="6" t="inlineStr">
        <is>
          <t>A53</t>
        </is>
      </c>
      <c r="D268" s="6" t="n">
        <v>12</v>
      </c>
      <c r="E268" s="15" t="n">
        <v>103</v>
      </c>
      <c r="F268" s="5" t="inlineStr">
        <is>
          <t>нет</t>
        </is>
      </c>
      <c r="H268">
        <f>VLOOKUP(C268,Автомобили!$A$2:$G$1000,3,0)</f>
        <v/>
      </c>
      <c r="I268">
        <f>VLOOKUP(D268,Клиенты!$A$2:$D$1000,2,0)</f>
        <v/>
      </c>
      <c r="J268">
        <f>IF(AND(H268="Kaptur",I268="Окраинов Л.Г.",YEAR(B268)=2020),E268,0)</f>
        <v/>
      </c>
    </row>
    <row r="269">
      <c r="A269" s="6" t="n">
        <v>268</v>
      </c>
      <c r="B269" s="13" t="n">
        <v>43897</v>
      </c>
      <c r="C269" s="6" t="inlineStr">
        <is>
          <t>A30</t>
        </is>
      </c>
      <c r="D269" s="6" t="n">
        <v>8</v>
      </c>
      <c r="E269" s="15" t="n">
        <v>167</v>
      </c>
      <c r="F269" s="5" t="inlineStr">
        <is>
          <t>нет</t>
        </is>
      </c>
      <c r="H269">
        <f>VLOOKUP(C269,Автомобили!$A$2:$G$1000,3,0)</f>
        <v/>
      </c>
      <c r="I269">
        <f>VLOOKUP(D269,Клиенты!$A$2:$D$1000,2,0)</f>
        <v/>
      </c>
      <c r="J269">
        <f>IF(AND(H269="Kaptur",I269="Окраинов Л.Г.",YEAR(B269)=2020),E269,0)</f>
        <v/>
      </c>
    </row>
    <row r="270">
      <c r="A270" s="6" t="n">
        <v>269</v>
      </c>
      <c r="B270" s="13" t="n">
        <v>43898</v>
      </c>
      <c r="C270" s="6" t="inlineStr">
        <is>
          <t>A41</t>
        </is>
      </c>
      <c r="D270" s="6" t="n">
        <v>7</v>
      </c>
      <c r="E270" s="15" t="n">
        <v>194</v>
      </c>
      <c r="F270" s="5" t="inlineStr">
        <is>
          <t>нет</t>
        </is>
      </c>
      <c r="H270">
        <f>VLOOKUP(C270,Автомобили!$A$2:$G$1000,3,0)</f>
        <v/>
      </c>
      <c r="I270">
        <f>VLOOKUP(D270,Клиенты!$A$2:$D$1000,2,0)</f>
        <v/>
      </c>
      <c r="J270">
        <f>IF(AND(H270="Kaptur",I270="Окраинов Л.Г.",YEAR(B270)=2020),E270,0)</f>
        <v/>
      </c>
    </row>
    <row r="271">
      <c r="A271" s="6" t="n">
        <v>270</v>
      </c>
      <c r="B271" s="13" t="n">
        <v>43898</v>
      </c>
      <c r="C271" s="6" t="inlineStr">
        <is>
          <t>A21</t>
        </is>
      </c>
      <c r="D271" s="6" t="n">
        <v>14</v>
      </c>
      <c r="E271" s="15" t="n">
        <v>302</v>
      </c>
      <c r="F271" s="5" t="inlineStr">
        <is>
          <t>нет</t>
        </is>
      </c>
      <c r="H271">
        <f>VLOOKUP(C271,Автомобили!$A$2:$G$1000,3,0)</f>
        <v/>
      </c>
      <c r="I271">
        <f>VLOOKUP(D271,Клиенты!$A$2:$D$1000,2,0)</f>
        <v/>
      </c>
      <c r="J271">
        <f>IF(AND(H271="Kaptur",I271="Окраинов Л.Г.",YEAR(B271)=2020),E271,0)</f>
        <v/>
      </c>
    </row>
    <row r="272">
      <c r="A272" s="6" t="n">
        <v>271</v>
      </c>
      <c r="B272" s="13" t="n">
        <v>43898</v>
      </c>
      <c r="C272" s="6" t="inlineStr">
        <is>
          <t>A64</t>
        </is>
      </c>
      <c r="D272" s="6" t="n">
        <v>15</v>
      </c>
      <c r="E272" s="15" t="n">
        <v>438</v>
      </c>
      <c r="F272" s="5" t="inlineStr">
        <is>
          <t>нет</t>
        </is>
      </c>
      <c r="H272">
        <f>VLOOKUP(C272,Автомобили!$A$2:$G$1000,3,0)</f>
        <v/>
      </c>
      <c r="I272">
        <f>VLOOKUP(D272,Клиенты!$A$2:$D$1000,2,0)</f>
        <v/>
      </c>
      <c r="J272">
        <f>IF(AND(H272="Kaptur",I272="Окраинов Л.Г.",YEAR(B272)=2020),E272,0)</f>
        <v/>
      </c>
    </row>
    <row r="273">
      <c r="A273" s="6" t="n">
        <v>272</v>
      </c>
      <c r="B273" s="13" t="n">
        <v>43898</v>
      </c>
      <c r="C273" s="6" t="inlineStr">
        <is>
          <t>A29</t>
        </is>
      </c>
      <c r="D273" s="6" t="n">
        <v>9</v>
      </c>
      <c r="E273" s="15" t="n">
        <v>270</v>
      </c>
      <c r="F273" s="5" t="inlineStr">
        <is>
          <t>нет</t>
        </is>
      </c>
      <c r="H273">
        <f>VLOOKUP(C273,Автомобили!$A$2:$G$1000,3,0)</f>
        <v/>
      </c>
      <c r="I273">
        <f>VLOOKUP(D273,Клиенты!$A$2:$D$1000,2,0)</f>
        <v/>
      </c>
      <c r="J273">
        <f>IF(AND(H273="Kaptur",I273="Окраинов Л.Г.",YEAR(B273)=2020),E273,0)</f>
        <v/>
      </c>
    </row>
    <row r="274">
      <c r="A274" s="6" t="n">
        <v>273</v>
      </c>
      <c r="B274" s="13" t="n">
        <v>43899</v>
      </c>
      <c r="C274" s="6" t="inlineStr">
        <is>
          <t>A59</t>
        </is>
      </c>
      <c r="D274" s="6" t="n">
        <v>14</v>
      </c>
      <c r="E274" s="15" t="n">
        <v>88</v>
      </c>
      <c r="F274" s="5" t="inlineStr">
        <is>
          <t>нет</t>
        </is>
      </c>
      <c r="H274">
        <f>VLOOKUP(C274,Автомобили!$A$2:$G$1000,3,0)</f>
        <v/>
      </c>
      <c r="I274">
        <f>VLOOKUP(D274,Клиенты!$A$2:$D$1000,2,0)</f>
        <v/>
      </c>
      <c r="J274">
        <f>IF(AND(H274="Kaptur",I274="Окраинов Л.Г.",YEAR(B274)=2020),E274,0)</f>
        <v/>
      </c>
    </row>
    <row r="275">
      <c r="A275" s="6" t="n">
        <v>274</v>
      </c>
      <c r="B275" s="13" t="n">
        <v>43899</v>
      </c>
      <c r="C275" s="6" t="inlineStr">
        <is>
          <t>A5</t>
        </is>
      </c>
      <c r="D275" s="6" t="n">
        <v>10</v>
      </c>
      <c r="E275" s="15" t="n">
        <v>416</v>
      </c>
      <c r="F275" s="5" t="inlineStr">
        <is>
          <t>нет</t>
        </is>
      </c>
      <c r="H275">
        <f>VLOOKUP(C275,Автомобили!$A$2:$G$1000,3,0)</f>
        <v/>
      </c>
      <c r="I275">
        <f>VLOOKUP(D275,Клиенты!$A$2:$D$1000,2,0)</f>
        <v/>
      </c>
      <c r="J275">
        <f>IF(AND(H275="Kaptur",I275="Окраинов Л.Г.",YEAR(B275)=2020),E275,0)</f>
        <v/>
      </c>
    </row>
    <row r="276">
      <c r="A276" s="6" t="n">
        <v>275</v>
      </c>
      <c r="B276" s="13" t="n">
        <v>43899</v>
      </c>
      <c r="C276" s="6" t="inlineStr">
        <is>
          <t>A19</t>
        </is>
      </c>
      <c r="D276" s="6" t="n">
        <v>1</v>
      </c>
      <c r="E276" s="15" t="n">
        <v>140</v>
      </c>
      <c r="F276" s="5" t="inlineStr">
        <is>
          <t>нет</t>
        </is>
      </c>
      <c r="H276">
        <f>VLOOKUP(C276,Автомобили!$A$2:$G$1000,3,0)</f>
        <v/>
      </c>
      <c r="I276">
        <f>VLOOKUP(D276,Клиенты!$A$2:$D$1000,2,0)</f>
        <v/>
      </c>
      <c r="J276">
        <f>IF(AND(H276="Kaptur",I276="Окраинов Л.Г.",YEAR(B276)=2020),E276,0)</f>
        <v/>
      </c>
    </row>
    <row r="277">
      <c r="A277" s="6" t="n">
        <v>276</v>
      </c>
      <c r="B277" s="13" t="n">
        <v>43899</v>
      </c>
      <c r="C277" s="6" t="inlineStr">
        <is>
          <t>A22</t>
        </is>
      </c>
      <c r="D277" s="6" t="n">
        <v>3</v>
      </c>
      <c r="E277" s="15" t="n">
        <v>134</v>
      </c>
      <c r="F277" s="5" t="inlineStr">
        <is>
          <t>нет</t>
        </is>
      </c>
      <c r="H277">
        <f>VLOOKUP(C277,Автомобили!$A$2:$G$1000,3,0)</f>
        <v/>
      </c>
      <c r="I277">
        <f>VLOOKUP(D277,Клиенты!$A$2:$D$1000,2,0)</f>
        <v/>
      </c>
      <c r="J277">
        <f>IF(AND(H277="Kaptur",I277="Окраинов Л.Г.",YEAR(B277)=2020),E277,0)</f>
        <v/>
      </c>
    </row>
    <row r="278">
      <c r="A278" s="6" t="n">
        <v>277</v>
      </c>
      <c r="B278" s="13" t="n">
        <v>43900</v>
      </c>
      <c r="C278" s="6" t="inlineStr">
        <is>
          <t>A23</t>
        </is>
      </c>
      <c r="D278" s="6" t="n">
        <v>11</v>
      </c>
      <c r="E278" s="15" t="n">
        <v>268</v>
      </c>
      <c r="F278" s="5" t="inlineStr">
        <is>
          <t>нет</t>
        </is>
      </c>
      <c r="H278">
        <f>VLOOKUP(C278,Автомобили!$A$2:$G$1000,3,0)</f>
        <v/>
      </c>
      <c r="I278">
        <f>VLOOKUP(D278,Клиенты!$A$2:$D$1000,2,0)</f>
        <v/>
      </c>
      <c r="J278">
        <f>IF(AND(H278="Kaptur",I278="Окраинов Л.Г.",YEAR(B278)=2020),E278,0)</f>
        <v/>
      </c>
    </row>
    <row r="279">
      <c r="A279" s="6" t="n">
        <v>278</v>
      </c>
      <c r="B279" s="13" t="n">
        <v>43900</v>
      </c>
      <c r="C279" s="6" t="inlineStr">
        <is>
          <t>A50</t>
        </is>
      </c>
      <c r="D279" s="6" t="n">
        <v>13</v>
      </c>
      <c r="E279" s="15" t="n">
        <v>368</v>
      </c>
      <c r="F279" s="5" t="inlineStr">
        <is>
          <t>нет</t>
        </is>
      </c>
      <c r="H279">
        <f>VLOOKUP(C279,Автомобили!$A$2:$G$1000,3,0)</f>
        <v/>
      </c>
      <c r="I279">
        <f>VLOOKUP(D279,Клиенты!$A$2:$D$1000,2,0)</f>
        <v/>
      </c>
      <c r="J279">
        <f>IF(AND(H279="Kaptur",I279="Окраинов Л.Г.",YEAR(B279)=2020),E279,0)</f>
        <v/>
      </c>
    </row>
    <row r="280">
      <c r="A280" s="6" t="n">
        <v>279</v>
      </c>
      <c r="B280" s="13" t="n">
        <v>43900</v>
      </c>
      <c r="C280" s="6" t="inlineStr">
        <is>
          <t>A10</t>
        </is>
      </c>
      <c r="D280" s="6" t="n">
        <v>1</v>
      </c>
      <c r="E280" s="15" t="n">
        <v>83</v>
      </c>
      <c r="F280" s="5" t="inlineStr">
        <is>
          <t>нет</t>
        </is>
      </c>
      <c r="H280">
        <f>VLOOKUP(C280,Автомобили!$A$2:$G$1000,3,0)</f>
        <v/>
      </c>
      <c r="I280">
        <f>VLOOKUP(D280,Клиенты!$A$2:$D$1000,2,0)</f>
        <v/>
      </c>
      <c r="J280">
        <f>IF(AND(H280="Kaptur",I280="Окраинов Л.Г.",YEAR(B280)=2020),E280,0)</f>
        <v/>
      </c>
    </row>
    <row r="281">
      <c r="A281" s="6" t="n">
        <v>280</v>
      </c>
      <c r="B281" s="13" t="n">
        <v>43900</v>
      </c>
      <c r="C281" s="6" t="inlineStr">
        <is>
          <t>A54</t>
        </is>
      </c>
      <c r="D281" s="6" t="n">
        <v>10</v>
      </c>
      <c r="E281" s="15" t="n">
        <v>122</v>
      </c>
      <c r="F281" s="5" t="inlineStr">
        <is>
          <t>нет</t>
        </is>
      </c>
      <c r="H281">
        <f>VLOOKUP(C281,Автомобили!$A$2:$G$1000,3,0)</f>
        <v/>
      </c>
      <c r="I281">
        <f>VLOOKUP(D281,Клиенты!$A$2:$D$1000,2,0)</f>
        <v/>
      </c>
      <c r="J281">
        <f>IF(AND(H281="Kaptur",I281="Окраинов Л.Г.",YEAR(B281)=2020),E281,0)</f>
        <v/>
      </c>
    </row>
    <row r="282">
      <c r="A282" s="6" t="n">
        <v>281</v>
      </c>
      <c r="B282" s="13" t="n">
        <v>43901</v>
      </c>
      <c r="C282" s="6" t="inlineStr">
        <is>
          <t>A21</t>
        </is>
      </c>
      <c r="D282" s="6" t="n">
        <v>10</v>
      </c>
      <c r="E282" s="15" t="n">
        <v>306</v>
      </c>
      <c r="F282" s="5" t="inlineStr">
        <is>
          <t>нет</t>
        </is>
      </c>
      <c r="H282">
        <f>VLOOKUP(C282,Автомобили!$A$2:$G$1000,3,0)</f>
        <v/>
      </c>
      <c r="I282">
        <f>VLOOKUP(D282,Клиенты!$A$2:$D$1000,2,0)</f>
        <v/>
      </c>
      <c r="J282">
        <f>IF(AND(H282="Kaptur",I282="Окраинов Л.Г.",YEAR(B282)=2020),E282,0)</f>
        <v/>
      </c>
    </row>
    <row r="283">
      <c r="A283" s="6" t="n">
        <v>282</v>
      </c>
      <c r="B283" s="13" t="n">
        <v>43901</v>
      </c>
      <c r="C283" s="6" t="inlineStr">
        <is>
          <t>A56</t>
        </is>
      </c>
      <c r="D283" s="6" t="n">
        <v>11</v>
      </c>
      <c r="E283" s="15" t="n">
        <v>349</v>
      </c>
      <c r="F283" s="5" t="inlineStr">
        <is>
          <t>нет</t>
        </is>
      </c>
      <c r="H283">
        <f>VLOOKUP(C283,Автомобили!$A$2:$G$1000,3,0)</f>
        <v/>
      </c>
      <c r="I283">
        <f>VLOOKUP(D283,Клиенты!$A$2:$D$1000,2,0)</f>
        <v/>
      </c>
      <c r="J283">
        <f>IF(AND(H283="Kaptur",I283="Окраинов Л.Г.",YEAR(B283)=2020),E283,0)</f>
        <v/>
      </c>
    </row>
    <row r="284">
      <c r="A284" s="6" t="n">
        <v>283</v>
      </c>
      <c r="B284" s="13" t="n">
        <v>43901</v>
      </c>
      <c r="C284" s="6" t="inlineStr">
        <is>
          <t>A57</t>
        </is>
      </c>
      <c r="D284" s="6" t="n">
        <v>3</v>
      </c>
      <c r="E284" s="15" t="n">
        <v>116</v>
      </c>
      <c r="F284" s="5" t="inlineStr">
        <is>
          <t>нет</t>
        </is>
      </c>
      <c r="H284">
        <f>VLOOKUP(C284,Автомобили!$A$2:$G$1000,3,0)</f>
        <v/>
      </c>
      <c r="I284">
        <f>VLOOKUP(D284,Клиенты!$A$2:$D$1000,2,0)</f>
        <v/>
      </c>
      <c r="J284">
        <f>IF(AND(H284="Kaptur",I284="Окраинов Л.Г.",YEAR(B284)=2020),E284,0)</f>
        <v/>
      </c>
    </row>
    <row r="285">
      <c r="A285" s="6" t="n">
        <v>284</v>
      </c>
      <c r="B285" s="13" t="n">
        <v>43901</v>
      </c>
      <c r="C285" s="6" t="inlineStr">
        <is>
          <t>A22</t>
        </is>
      </c>
      <c r="D285" s="6" t="n">
        <v>15</v>
      </c>
      <c r="E285" s="15" t="n">
        <v>112</v>
      </c>
      <c r="F285" s="5" t="inlineStr">
        <is>
          <t>нет</t>
        </is>
      </c>
      <c r="H285">
        <f>VLOOKUP(C285,Автомобили!$A$2:$G$1000,3,0)</f>
        <v/>
      </c>
      <c r="I285">
        <f>VLOOKUP(D285,Клиенты!$A$2:$D$1000,2,0)</f>
        <v/>
      </c>
      <c r="J285">
        <f>IF(AND(H285="Kaptur",I285="Окраинов Л.Г.",YEAR(B285)=2020),E285,0)</f>
        <v/>
      </c>
    </row>
    <row r="286">
      <c r="A286" s="6" t="n">
        <v>285</v>
      </c>
      <c r="B286" s="13" t="n">
        <v>43902</v>
      </c>
      <c r="C286" s="6" t="inlineStr">
        <is>
          <t>A47</t>
        </is>
      </c>
      <c r="D286" s="6" t="n">
        <v>5</v>
      </c>
      <c r="E286" s="15" t="n">
        <v>420</v>
      </c>
      <c r="F286" s="5" t="inlineStr">
        <is>
          <t>нет</t>
        </is>
      </c>
      <c r="H286">
        <f>VLOOKUP(C286,Автомобили!$A$2:$G$1000,3,0)</f>
        <v/>
      </c>
      <c r="I286">
        <f>VLOOKUP(D286,Клиенты!$A$2:$D$1000,2,0)</f>
        <v/>
      </c>
      <c r="J286">
        <f>IF(AND(H286="Kaptur",I286="Окраинов Л.Г.",YEAR(B286)=2020),E286,0)</f>
        <v/>
      </c>
    </row>
    <row r="287">
      <c r="A287" s="6" t="n">
        <v>286</v>
      </c>
      <c r="B287" s="13" t="n">
        <v>43902</v>
      </c>
      <c r="C287" s="6" t="inlineStr">
        <is>
          <t>A46</t>
        </is>
      </c>
      <c r="D287" s="6" t="n">
        <v>6</v>
      </c>
      <c r="E287" s="15" t="n">
        <v>385</v>
      </c>
      <c r="F287" s="5" t="inlineStr">
        <is>
          <t>нет</t>
        </is>
      </c>
      <c r="H287">
        <f>VLOOKUP(C287,Автомобили!$A$2:$G$1000,3,0)</f>
        <v/>
      </c>
      <c r="I287">
        <f>VLOOKUP(D287,Клиенты!$A$2:$D$1000,2,0)</f>
        <v/>
      </c>
      <c r="J287">
        <f>IF(AND(H287="Kaptur",I287="Окраинов Л.Г.",YEAR(B287)=2020),E287,0)</f>
        <v/>
      </c>
    </row>
    <row r="288">
      <c r="A288" s="6" t="n">
        <v>287</v>
      </c>
      <c r="B288" s="13" t="n">
        <v>43902</v>
      </c>
      <c r="C288" s="6" t="inlineStr">
        <is>
          <t>A39</t>
        </is>
      </c>
      <c r="D288" s="6" t="n">
        <v>15</v>
      </c>
      <c r="E288" s="15" t="n">
        <v>414</v>
      </c>
      <c r="F288" s="5" t="inlineStr">
        <is>
          <t>нет</t>
        </is>
      </c>
      <c r="H288">
        <f>VLOOKUP(C288,Автомобили!$A$2:$G$1000,3,0)</f>
        <v/>
      </c>
      <c r="I288">
        <f>VLOOKUP(D288,Клиенты!$A$2:$D$1000,2,0)</f>
        <v/>
      </c>
      <c r="J288">
        <f>IF(AND(H288="Kaptur",I288="Окраинов Л.Г.",YEAR(B288)=2020),E288,0)</f>
        <v/>
      </c>
    </row>
    <row r="289">
      <c r="A289" s="6" t="n">
        <v>288</v>
      </c>
      <c r="B289" s="13" t="n">
        <v>43902</v>
      </c>
      <c r="C289" s="6" t="inlineStr">
        <is>
          <t>A18</t>
        </is>
      </c>
      <c r="D289" s="6" t="n">
        <v>6</v>
      </c>
      <c r="E289" s="15" t="n">
        <v>298</v>
      </c>
      <c r="F289" s="5" t="inlineStr">
        <is>
          <t>нет</t>
        </is>
      </c>
      <c r="H289">
        <f>VLOOKUP(C289,Автомобили!$A$2:$G$1000,3,0)</f>
        <v/>
      </c>
      <c r="I289">
        <f>VLOOKUP(D289,Клиенты!$A$2:$D$1000,2,0)</f>
        <v/>
      </c>
      <c r="J289">
        <f>IF(AND(H289="Kaptur",I289="Окраинов Л.Г.",YEAR(B289)=2020),E289,0)</f>
        <v/>
      </c>
    </row>
    <row r="290">
      <c r="A290" s="6" t="n">
        <v>289</v>
      </c>
      <c r="B290" s="13" t="n">
        <v>43903</v>
      </c>
      <c r="C290" s="6" t="inlineStr">
        <is>
          <t>A11</t>
        </is>
      </c>
      <c r="D290" s="6" t="n">
        <v>8</v>
      </c>
      <c r="E290" s="15" t="n">
        <v>315</v>
      </c>
      <c r="F290" s="5" t="inlineStr">
        <is>
          <t>нет</t>
        </is>
      </c>
      <c r="H290">
        <f>VLOOKUP(C290,Автомобили!$A$2:$G$1000,3,0)</f>
        <v/>
      </c>
      <c r="I290">
        <f>VLOOKUP(D290,Клиенты!$A$2:$D$1000,2,0)</f>
        <v/>
      </c>
      <c r="J290">
        <f>IF(AND(H290="Kaptur",I290="Окраинов Л.Г.",YEAR(B290)=2020),E290,0)</f>
        <v/>
      </c>
    </row>
    <row r="291">
      <c r="A291" s="6" t="n">
        <v>290</v>
      </c>
      <c r="B291" s="13" t="n">
        <v>43903</v>
      </c>
      <c r="C291" s="6" t="inlineStr">
        <is>
          <t>A6</t>
        </is>
      </c>
      <c r="D291" s="6" t="n">
        <v>10</v>
      </c>
      <c r="E291" s="15" t="n">
        <v>364</v>
      </c>
      <c r="F291" s="5" t="inlineStr">
        <is>
          <t>нет</t>
        </is>
      </c>
      <c r="H291">
        <f>VLOOKUP(C291,Автомобили!$A$2:$G$1000,3,0)</f>
        <v/>
      </c>
      <c r="I291">
        <f>VLOOKUP(D291,Клиенты!$A$2:$D$1000,2,0)</f>
        <v/>
      </c>
      <c r="J291">
        <f>IF(AND(H291="Kaptur",I291="Окраинов Л.Г.",YEAR(B291)=2020),E291,0)</f>
        <v/>
      </c>
    </row>
    <row r="292">
      <c r="A292" s="6" t="n">
        <v>291</v>
      </c>
      <c r="B292" s="13" t="n">
        <v>43903</v>
      </c>
      <c r="C292" s="6" t="inlineStr">
        <is>
          <t>A33</t>
        </is>
      </c>
      <c r="D292" s="6" t="n">
        <v>6</v>
      </c>
      <c r="E292" s="15" t="n">
        <v>350</v>
      </c>
      <c r="F292" s="5" t="inlineStr">
        <is>
          <t>нет</t>
        </is>
      </c>
      <c r="H292">
        <f>VLOOKUP(C292,Автомобили!$A$2:$G$1000,3,0)</f>
        <v/>
      </c>
      <c r="I292">
        <f>VLOOKUP(D292,Клиенты!$A$2:$D$1000,2,0)</f>
        <v/>
      </c>
      <c r="J292">
        <f>IF(AND(H292="Kaptur",I292="Окраинов Л.Г.",YEAR(B292)=2020),E292,0)</f>
        <v/>
      </c>
    </row>
    <row r="293">
      <c r="A293" s="6" t="n">
        <v>292</v>
      </c>
      <c r="B293" s="13" t="n">
        <v>43903</v>
      </c>
      <c r="C293" s="6" t="inlineStr">
        <is>
          <t>A27</t>
        </is>
      </c>
      <c r="D293" s="6" t="n">
        <v>2</v>
      </c>
      <c r="E293" s="15" t="n">
        <v>110</v>
      </c>
      <c r="F293" s="5" t="inlineStr">
        <is>
          <t>нет</t>
        </is>
      </c>
      <c r="H293">
        <f>VLOOKUP(C293,Автомобили!$A$2:$G$1000,3,0)</f>
        <v/>
      </c>
      <c r="I293">
        <f>VLOOKUP(D293,Клиенты!$A$2:$D$1000,2,0)</f>
        <v/>
      </c>
      <c r="J293">
        <f>IF(AND(H293="Kaptur",I293="Окраинов Л.Г.",YEAR(B293)=2020),E293,0)</f>
        <v/>
      </c>
    </row>
    <row r="294">
      <c r="A294" s="6" t="n">
        <v>293</v>
      </c>
      <c r="B294" s="13" t="n">
        <v>43904</v>
      </c>
      <c r="C294" s="6" t="inlineStr">
        <is>
          <t>A26</t>
        </is>
      </c>
      <c r="D294" s="6" t="n">
        <v>15</v>
      </c>
      <c r="E294" s="15" t="n">
        <v>354</v>
      </c>
      <c r="F294" s="5" t="inlineStr">
        <is>
          <t>нет</t>
        </is>
      </c>
      <c r="H294">
        <f>VLOOKUP(C294,Автомобили!$A$2:$G$1000,3,0)</f>
        <v/>
      </c>
      <c r="I294">
        <f>VLOOKUP(D294,Клиенты!$A$2:$D$1000,2,0)</f>
        <v/>
      </c>
      <c r="J294">
        <f>IF(AND(H294="Kaptur",I294="Окраинов Л.Г.",YEAR(B294)=2020),E294,0)</f>
        <v/>
      </c>
    </row>
    <row r="295">
      <c r="A295" s="6" t="n">
        <v>294</v>
      </c>
      <c r="B295" s="13" t="n">
        <v>43904</v>
      </c>
      <c r="C295" s="6" t="inlineStr">
        <is>
          <t>A26</t>
        </is>
      </c>
      <c r="D295" s="6" t="n">
        <v>5</v>
      </c>
      <c r="E295" s="15" t="n">
        <v>323</v>
      </c>
      <c r="F295" s="5" t="inlineStr">
        <is>
          <t>нет</t>
        </is>
      </c>
      <c r="H295">
        <f>VLOOKUP(C295,Автомобили!$A$2:$G$1000,3,0)</f>
        <v/>
      </c>
      <c r="I295">
        <f>VLOOKUP(D295,Клиенты!$A$2:$D$1000,2,0)</f>
        <v/>
      </c>
      <c r="J295">
        <f>IF(AND(H295="Kaptur",I295="Окраинов Л.Г.",YEAR(B295)=2020),E295,0)</f>
        <v/>
      </c>
    </row>
    <row r="296">
      <c r="A296" s="6" t="n">
        <v>295</v>
      </c>
      <c r="B296" s="13" t="n">
        <v>43904</v>
      </c>
      <c r="C296" s="6" t="inlineStr">
        <is>
          <t>A10</t>
        </is>
      </c>
      <c r="D296" s="6" t="n">
        <v>3</v>
      </c>
      <c r="E296" s="15" t="n">
        <v>321</v>
      </c>
      <c r="F296" s="5" t="inlineStr">
        <is>
          <t>нет</t>
        </is>
      </c>
      <c r="H296">
        <f>VLOOKUP(C296,Автомобили!$A$2:$G$1000,3,0)</f>
        <v/>
      </c>
      <c r="I296">
        <f>VLOOKUP(D296,Клиенты!$A$2:$D$1000,2,0)</f>
        <v/>
      </c>
      <c r="J296">
        <f>IF(AND(H296="Kaptur",I296="Окраинов Л.Г.",YEAR(B296)=2020),E296,0)</f>
        <v/>
      </c>
    </row>
    <row r="297">
      <c r="A297" s="6" t="n">
        <v>296</v>
      </c>
      <c r="B297" s="13" t="n">
        <v>43904</v>
      </c>
      <c r="C297" s="6" t="inlineStr">
        <is>
          <t>A61</t>
        </is>
      </c>
      <c r="D297" s="6" t="n">
        <v>14</v>
      </c>
      <c r="E297" s="15" t="n">
        <v>207</v>
      </c>
      <c r="F297" s="5" t="inlineStr">
        <is>
          <t>нет</t>
        </is>
      </c>
      <c r="H297">
        <f>VLOOKUP(C297,Автомобили!$A$2:$G$1000,3,0)</f>
        <v/>
      </c>
      <c r="I297">
        <f>VLOOKUP(D297,Клиенты!$A$2:$D$1000,2,0)</f>
        <v/>
      </c>
      <c r="J297">
        <f>IF(AND(H297="Kaptur",I297="Окраинов Л.Г.",YEAR(B297)=2020),E297,0)</f>
        <v/>
      </c>
    </row>
    <row r="298">
      <c r="A298" s="6" t="n">
        <v>297</v>
      </c>
      <c r="B298" s="13" t="n">
        <v>43905</v>
      </c>
      <c r="C298" s="6" t="inlineStr">
        <is>
          <t>A48</t>
        </is>
      </c>
      <c r="D298" s="6" t="n">
        <v>14</v>
      </c>
      <c r="E298" s="15" t="n">
        <v>403</v>
      </c>
      <c r="F298" s="5" t="inlineStr">
        <is>
          <t>нет</t>
        </is>
      </c>
      <c r="H298">
        <f>VLOOKUP(C298,Автомобили!$A$2:$G$1000,3,0)</f>
        <v/>
      </c>
      <c r="I298">
        <f>VLOOKUP(D298,Клиенты!$A$2:$D$1000,2,0)</f>
        <v/>
      </c>
      <c r="J298">
        <f>IF(AND(H298="Kaptur",I298="Окраинов Л.Г.",YEAR(B298)=2020),E298,0)</f>
        <v/>
      </c>
    </row>
    <row r="299">
      <c r="A299" s="6" t="n">
        <v>298</v>
      </c>
      <c r="B299" s="13" t="n">
        <v>43905</v>
      </c>
      <c r="C299" s="6" t="inlineStr">
        <is>
          <t>A5</t>
        </is>
      </c>
      <c r="D299" s="6" t="n">
        <v>6</v>
      </c>
      <c r="E299" s="15" t="n">
        <v>134</v>
      </c>
      <c r="F299" s="5" t="inlineStr">
        <is>
          <t>нет</t>
        </is>
      </c>
      <c r="H299">
        <f>VLOOKUP(C299,Автомобили!$A$2:$G$1000,3,0)</f>
        <v/>
      </c>
      <c r="I299">
        <f>VLOOKUP(D299,Клиенты!$A$2:$D$1000,2,0)</f>
        <v/>
      </c>
      <c r="J299">
        <f>IF(AND(H299="Kaptur",I299="Окраинов Л.Г.",YEAR(B299)=2020),E299,0)</f>
        <v/>
      </c>
    </row>
    <row r="300">
      <c r="A300" s="6" t="n">
        <v>299</v>
      </c>
      <c r="B300" s="13" t="n">
        <v>43905</v>
      </c>
      <c r="C300" s="6" t="inlineStr">
        <is>
          <t>A26</t>
        </is>
      </c>
      <c r="D300" s="6" t="n">
        <v>12</v>
      </c>
      <c r="E300" s="15" t="n">
        <v>328</v>
      </c>
      <c r="F300" s="5" t="inlineStr">
        <is>
          <t>нет</t>
        </is>
      </c>
      <c r="H300">
        <f>VLOOKUP(C300,Автомобили!$A$2:$G$1000,3,0)</f>
        <v/>
      </c>
      <c r="I300">
        <f>VLOOKUP(D300,Клиенты!$A$2:$D$1000,2,0)</f>
        <v/>
      </c>
      <c r="J300">
        <f>IF(AND(H300="Kaptur",I300="Окраинов Л.Г.",YEAR(B300)=2020),E300,0)</f>
        <v/>
      </c>
    </row>
    <row r="301">
      <c r="A301" s="6" t="n">
        <v>300</v>
      </c>
      <c r="B301" s="13" t="n">
        <v>43905</v>
      </c>
      <c r="C301" s="6" t="inlineStr">
        <is>
          <t>A3</t>
        </is>
      </c>
      <c r="D301" s="6" t="n">
        <v>6</v>
      </c>
      <c r="E301" s="15" t="n">
        <v>318</v>
      </c>
      <c r="F301" s="5" t="inlineStr">
        <is>
          <t>нет</t>
        </is>
      </c>
      <c r="H301">
        <f>VLOOKUP(C301,Автомобили!$A$2:$G$1000,3,0)</f>
        <v/>
      </c>
      <c r="I301">
        <f>VLOOKUP(D301,Клиенты!$A$2:$D$1000,2,0)</f>
        <v/>
      </c>
      <c r="J301">
        <f>IF(AND(H301="Kaptur",I301="Окраинов Л.Г.",YEAR(B301)=2020),E301,0)</f>
        <v/>
      </c>
    </row>
    <row r="302">
      <c r="A302" s="6" t="n">
        <v>301</v>
      </c>
      <c r="B302" s="13" t="n">
        <v>43906</v>
      </c>
      <c r="C302" s="6" t="inlineStr">
        <is>
          <t>A43</t>
        </is>
      </c>
      <c r="D302" s="6" t="n">
        <v>15</v>
      </c>
      <c r="E302" s="15" t="n">
        <v>418</v>
      </c>
      <c r="F302" s="5" t="inlineStr">
        <is>
          <t>нет</t>
        </is>
      </c>
      <c r="H302">
        <f>VLOOKUP(C302,Автомобили!$A$2:$G$1000,3,0)</f>
        <v/>
      </c>
      <c r="I302">
        <f>VLOOKUP(D302,Клиенты!$A$2:$D$1000,2,0)</f>
        <v/>
      </c>
      <c r="J302">
        <f>IF(AND(H302="Kaptur",I302="Окраинов Л.Г.",YEAR(B302)=2020),E302,0)</f>
        <v/>
      </c>
    </row>
    <row r="303">
      <c r="A303" s="6" t="n">
        <v>302</v>
      </c>
      <c r="B303" s="13" t="n">
        <v>43906</v>
      </c>
      <c r="C303" s="6" t="inlineStr">
        <is>
          <t>A61</t>
        </is>
      </c>
      <c r="D303" s="6" t="n">
        <v>10</v>
      </c>
      <c r="E303" s="15" t="n">
        <v>275</v>
      </c>
      <c r="F303" s="5" t="inlineStr">
        <is>
          <t>нет</t>
        </is>
      </c>
      <c r="H303">
        <f>VLOOKUP(C303,Автомобили!$A$2:$G$1000,3,0)</f>
        <v/>
      </c>
      <c r="I303">
        <f>VLOOKUP(D303,Клиенты!$A$2:$D$1000,2,0)</f>
        <v/>
      </c>
      <c r="J303">
        <f>IF(AND(H303="Kaptur",I303="Окраинов Л.Г.",YEAR(B303)=2020),E303,0)</f>
        <v/>
      </c>
    </row>
    <row r="304">
      <c r="A304" s="6" t="n">
        <v>303</v>
      </c>
      <c r="B304" s="13" t="n">
        <v>43906</v>
      </c>
      <c r="C304" s="6" t="inlineStr">
        <is>
          <t>A6</t>
        </is>
      </c>
      <c r="D304" s="6" t="n">
        <v>5</v>
      </c>
      <c r="E304" s="15" t="n">
        <v>262</v>
      </c>
      <c r="F304" s="5" t="inlineStr">
        <is>
          <t>нет</t>
        </is>
      </c>
      <c r="H304">
        <f>VLOOKUP(C304,Автомобили!$A$2:$G$1000,3,0)</f>
        <v/>
      </c>
      <c r="I304">
        <f>VLOOKUP(D304,Клиенты!$A$2:$D$1000,2,0)</f>
        <v/>
      </c>
      <c r="J304">
        <f>IF(AND(H304="Kaptur",I304="Окраинов Л.Г.",YEAR(B304)=2020),E304,0)</f>
        <v/>
      </c>
    </row>
    <row r="305">
      <c r="A305" s="6" t="n">
        <v>304</v>
      </c>
      <c r="B305" s="13" t="n">
        <v>43906</v>
      </c>
      <c r="C305" s="6" t="inlineStr">
        <is>
          <t>A15</t>
        </is>
      </c>
      <c r="D305" s="6" t="n">
        <v>6</v>
      </c>
      <c r="E305" s="15" t="n">
        <v>289</v>
      </c>
      <c r="F305" s="5" t="inlineStr">
        <is>
          <t>нет</t>
        </is>
      </c>
      <c r="H305">
        <f>VLOOKUP(C305,Автомобили!$A$2:$G$1000,3,0)</f>
        <v/>
      </c>
      <c r="I305">
        <f>VLOOKUP(D305,Клиенты!$A$2:$D$1000,2,0)</f>
        <v/>
      </c>
      <c r="J305">
        <f>IF(AND(H305="Kaptur",I305="Окраинов Л.Г.",YEAR(B305)=2020),E305,0)</f>
        <v/>
      </c>
    </row>
    <row r="306">
      <c r="A306" s="6" t="n">
        <v>305</v>
      </c>
      <c r="B306" s="13" t="n">
        <v>43907</v>
      </c>
      <c r="C306" s="6" t="inlineStr">
        <is>
          <t>A28</t>
        </is>
      </c>
      <c r="D306" s="6" t="n">
        <v>6</v>
      </c>
      <c r="E306" s="15" t="n">
        <v>434</v>
      </c>
      <c r="F306" s="5" t="inlineStr">
        <is>
          <t>нет</t>
        </is>
      </c>
      <c r="H306">
        <f>VLOOKUP(C306,Автомобили!$A$2:$G$1000,3,0)</f>
        <v/>
      </c>
      <c r="I306">
        <f>VLOOKUP(D306,Клиенты!$A$2:$D$1000,2,0)</f>
        <v/>
      </c>
      <c r="J306">
        <f>IF(AND(H306="Kaptur",I306="Окраинов Л.Г.",YEAR(B306)=2020),E306,0)</f>
        <v/>
      </c>
    </row>
    <row r="307">
      <c r="A307" s="6" t="n">
        <v>306</v>
      </c>
      <c r="B307" s="13" t="n">
        <v>43907</v>
      </c>
      <c r="C307" s="6" t="inlineStr">
        <is>
          <t>A15</t>
        </is>
      </c>
      <c r="D307" s="6" t="n">
        <v>2</v>
      </c>
      <c r="E307" s="15" t="n">
        <v>180</v>
      </c>
      <c r="F307" s="5" t="inlineStr">
        <is>
          <t>нет</t>
        </is>
      </c>
      <c r="H307">
        <f>VLOOKUP(C307,Автомобили!$A$2:$G$1000,3,0)</f>
        <v/>
      </c>
      <c r="I307">
        <f>VLOOKUP(D307,Клиенты!$A$2:$D$1000,2,0)</f>
        <v/>
      </c>
      <c r="J307">
        <f>IF(AND(H307="Kaptur",I307="Окраинов Л.Г.",YEAR(B307)=2020),E307,0)</f>
        <v/>
      </c>
    </row>
    <row r="308">
      <c r="A308" s="6" t="n">
        <v>307</v>
      </c>
      <c r="B308" s="13" t="n">
        <v>43907</v>
      </c>
      <c r="C308" s="6" t="inlineStr">
        <is>
          <t>A1</t>
        </is>
      </c>
      <c r="D308" s="6" t="n">
        <v>11</v>
      </c>
      <c r="E308" s="15" t="n">
        <v>334</v>
      </c>
      <c r="F308" s="5" t="inlineStr">
        <is>
          <t>нет</t>
        </is>
      </c>
      <c r="H308">
        <f>VLOOKUP(C308,Автомобили!$A$2:$G$1000,3,0)</f>
        <v/>
      </c>
      <c r="I308">
        <f>VLOOKUP(D308,Клиенты!$A$2:$D$1000,2,0)</f>
        <v/>
      </c>
      <c r="J308">
        <f>IF(AND(H308="Kaptur",I308="Окраинов Л.Г.",YEAR(B308)=2020),E308,0)</f>
        <v/>
      </c>
    </row>
    <row r="309">
      <c r="A309" s="6" t="n">
        <v>308</v>
      </c>
      <c r="B309" s="13" t="n">
        <v>43907</v>
      </c>
      <c r="C309" s="6" t="inlineStr">
        <is>
          <t>A40</t>
        </is>
      </c>
      <c r="D309" s="6" t="n">
        <v>1</v>
      </c>
      <c r="E309" s="15" t="n">
        <v>139</v>
      </c>
      <c r="F309" s="5" t="inlineStr">
        <is>
          <t>нет</t>
        </is>
      </c>
      <c r="H309">
        <f>VLOOKUP(C309,Автомобили!$A$2:$G$1000,3,0)</f>
        <v/>
      </c>
      <c r="I309">
        <f>VLOOKUP(D309,Клиенты!$A$2:$D$1000,2,0)</f>
        <v/>
      </c>
      <c r="J309">
        <f>IF(AND(H309="Kaptur",I309="Окраинов Л.Г.",YEAR(B309)=2020),E309,0)</f>
        <v/>
      </c>
    </row>
    <row r="310">
      <c r="A310" s="6" t="n">
        <v>309</v>
      </c>
      <c r="B310" s="13" t="n">
        <v>43908</v>
      </c>
      <c r="C310" s="6" t="inlineStr">
        <is>
          <t>A34</t>
        </is>
      </c>
      <c r="D310" s="6" t="n">
        <v>3</v>
      </c>
      <c r="E310" s="15" t="n">
        <v>405</v>
      </c>
      <c r="F310" s="5" t="inlineStr">
        <is>
          <t>нет</t>
        </is>
      </c>
      <c r="H310">
        <f>VLOOKUP(C310,Автомобили!$A$2:$G$1000,3,0)</f>
        <v/>
      </c>
      <c r="I310">
        <f>VLOOKUP(D310,Клиенты!$A$2:$D$1000,2,0)</f>
        <v/>
      </c>
      <c r="J310">
        <f>IF(AND(H310="Kaptur",I310="Окраинов Л.Г.",YEAR(B310)=2020),E310,0)</f>
        <v/>
      </c>
    </row>
    <row r="311">
      <c r="A311" s="6" t="n">
        <v>310</v>
      </c>
      <c r="B311" s="13" t="n">
        <v>43908</v>
      </c>
      <c r="C311" s="6" t="inlineStr">
        <is>
          <t>A52</t>
        </is>
      </c>
      <c r="D311" s="6" t="n">
        <v>11</v>
      </c>
      <c r="E311" s="15" t="n">
        <v>341</v>
      </c>
      <c r="F311" s="5" t="inlineStr">
        <is>
          <t>нет</t>
        </is>
      </c>
      <c r="H311">
        <f>VLOOKUP(C311,Автомобили!$A$2:$G$1000,3,0)</f>
        <v/>
      </c>
      <c r="I311">
        <f>VLOOKUP(D311,Клиенты!$A$2:$D$1000,2,0)</f>
        <v/>
      </c>
      <c r="J311">
        <f>IF(AND(H311="Kaptur",I311="Окраинов Л.Г.",YEAR(B311)=2020),E311,0)</f>
        <v/>
      </c>
    </row>
    <row r="312">
      <c r="A312" s="6" t="n">
        <v>311</v>
      </c>
      <c r="B312" s="13" t="n">
        <v>43908</v>
      </c>
      <c r="C312" s="6" t="inlineStr">
        <is>
          <t>A7</t>
        </is>
      </c>
      <c r="D312" s="6" t="n">
        <v>11</v>
      </c>
      <c r="E312" s="15" t="n">
        <v>200</v>
      </c>
      <c r="F312" s="5" t="inlineStr">
        <is>
          <t>нет</t>
        </is>
      </c>
      <c r="H312">
        <f>VLOOKUP(C312,Автомобили!$A$2:$G$1000,3,0)</f>
        <v/>
      </c>
      <c r="I312">
        <f>VLOOKUP(D312,Клиенты!$A$2:$D$1000,2,0)</f>
        <v/>
      </c>
      <c r="J312">
        <f>IF(AND(H312="Kaptur",I312="Окраинов Л.Г.",YEAR(B312)=2020),E312,0)</f>
        <v/>
      </c>
    </row>
    <row r="313">
      <c r="A313" s="6" t="n">
        <v>312</v>
      </c>
      <c r="B313" s="13" t="n">
        <v>43908</v>
      </c>
      <c r="C313" s="6" t="inlineStr">
        <is>
          <t>A44</t>
        </is>
      </c>
      <c r="D313" s="6" t="n">
        <v>4</v>
      </c>
      <c r="E313" s="15" t="n">
        <v>254</v>
      </c>
      <c r="F313" s="5" t="inlineStr">
        <is>
          <t>нет</t>
        </is>
      </c>
      <c r="H313">
        <f>VLOOKUP(C313,Автомобили!$A$2:$G$1000,3,0)</f>
        <v/>
      </c>
      <c r="I313">
        <f>VLOOKUP(D313,Клиенты!$A$2:$D$1000,2,0)</f>
        <v/>
      </c>
      <c r="J313">
        <f>IF(AND(H313="Kaptur",I313="Окраинов Л.Г.",YEAR(B313)=2020),E313,0)</f>
        <v/>
      </c>
    </row>
    <row r="314">
      <c r="A314" s="6" t="n">
        <v>313</v>
      </c>
      <c r="B314" s="13" t="n">
        <v>43909</v>
      </c>
      <c r="C314" s="6" t="inlineStr">
        <is>
          <t>A25</t>
        </is>
      </c>
      <c r="D314" s="6" t="n">
        <v>12</v>
      </c>
      <c r="E314" s="15" t="n">
        <v>450</v>
      </c>
      <c r="F314" s="5" t="inlineStr">
        <is>
          <t>нет</t>
        </is>
      </c>
      <c r="H314">
        <f>VLOOKUP(C314,Автомобили!$A$2:$G$1000,3,0)</f>
        <v/>
      </c>
      <c r="I314">
        <f>VLOOKUP(D314,Клиенты!$A$2:$D$1000,2,0)</f>
        <v/>
      </c>
      <c r="J314">
        <f>IF(AND(H314="Kaptur",I314="Окраинов Л.Г.",YEAR(B314)=2020),E314,0)</f>
        <v/>
      </c>
    </row>
    <row r="315">
      <c r="A315" s="6" t="n">
        <v>314</v>
      </c>
      <c r="B315" s="13" t="n">
        <v>43909</v>
      </c>
      <c r="C315" s="6" t="inlineStr">
        <is>
          <t>A4</t>
        </is>
      </c>
      <c r="D315" s="6" t="n">
        <v>13</v>
      </c>
      <c r="E315" s="15" t="n">
        <v>418</v>
      </c>
      <c r="F315" s="5" t="inlineStr">
        <is>
          <t>нет</t>
        </is>
      </c>
      <c r="H315">
        <f>VLOOKUP(C315,Автомобили!$A$2:$G$1000,3,0)</f>
        <v/>
      </c>
      <c r="I315">
        <f>VLOOKUP(D315,Клиенты!$A$2:$D$1000,2,0)</f>
        <v/>
      </c>
      <c r="J315">
        <f>IF(AND(H315="Kaptur",I315="Окраинов Л.Г.",YEAR(B315)=2020),E315,0)</f>
        <v/>
      </c>
    </row>
    <row r="316">
      <c r="A316" s="6" t="n">
        <v>315</v>
      </c>
      <c r="B316" s="13" t="n">
        <v>43909</v>
      </c>
      <c r="C316" s="6" t="inlineStr">
        <is>
          <t>A28</t>
        </is>
      </c>
      <c r="D316" s="6" t="n">
        <v>9</v>
      </c>
      <c r="E316" s="15" t="n">
        <v>264</v>
      </c>
      <c r="F316" s="5" t="inlineStr">
        <is>
          <t>нет</t>
        </is>
      </c>
      <c r="H316">
        <f>VLOOKUP(C316,Автомобили!$A$2:$G$1000,3,0)</f>
        <v/>
      </c>
      <c r="I316">
        <f>VLOOKUP(D316,Клиенты!$A$2:$D$1000,2,0)</f>
        <v/>
      </c>
      <c r="J316">
        <f>IF(AND(H316="Kaptur",I316="Окраинов Л.Г.",YEAR(B316)=2020),E316,0)</f>
        <v/>
      </c>
    </row>
    <row r="317">
      <c r="A317" s="6" t="n">
        <v>316</v>
      </c>
      <c r="B317" s="13" t="n">
        <v>43909</v>
      </c>
      <c r="C317" s="6" t="inlineStr">
        <is>
          <t>A17</t>
        </is>
      </c>
      <c r="D317" s="6" t="n">
        <v>10</v>
      </c>
      <c r="E317" s="15" t="n">
        <v>253</v>
      </c>
      <c r="F317" s="5" t="inlineStr">
        <is>
          <t>нет</t>
        </is>
      </c>
      <c r="H317">
        <f>VLOOKUP(C317,Автомобили!$A$2:$G$1000,3,0)</f>
        <v/>
      </c>
      <c r="I317">
        <f>VLOOKUP(D317,Клиенты!$A$2:$D$1000,2,0)</f>
        <v/>
      </c>
      <c r="J317">
        <f>IF(AND(H317="Kaptur",I317="Окраинов Л.Г.",YEAR(B317)=2020),E317,0)</f>
        <v/>
      </c>
    </row>
    <row r="318">
      <c r="A318" s="6" t="n">
        <v>317</v>
      </c>
      <c r="B318" s="13" t="n">
        <v>43910</v>
      </c>
      <c r="C318" s="6" t="inlineStr">
        <is>
          <t>A15</t>
        </is>
      </c>
      <c r="D318" s="6" t="n">
        <v>5</v>
      </c>
      <c r="E318" s="15" t="n">
        <v>70</v>
      </c>
      <c r="F318" s="5" t="inlineStr">
        <is>
          <t>нет</t>
        </is>
      </c>
      <c r="H318">
        <f>VLOOKUP(C318,Автомобили!$A$2:$G$1000,3,0)</f>
        <v/>
      </c>
      <c r="I318">
        <f>VLOOKUP(D318,Клиенты!$A$2:$D$1000,2,0)</f>
        <v/>
      </c>
      <c r="J318">
        <f>IF(AND(H318="Kaptur",I318="Окраинов Л.Г.",YEAR(B318)=2020),E318,0)</f>
        <v/>
      </c>
    </row>
    <row r="319">
      <c r="A319" s="6" t="n">
        <v>318</v>
      </c>
      <c r="B319" s="13" t="n">
        <v>43910</v>
      </c>
      <c r="C319" s="6" t="inlineStr">
        <is>
          <t>A47</t>
        </is>
      </c>
      <c r="D319" s="6" t="n">
        <v>12</v>
      </c>
      <c r="E319" s="15" t="n">
        <v>85</v>
      </c>
      <c r="F319" s="5" t="inlineStr">
        <is>
          <t>нет</t>
        </is>
      </c>
      <c r="H319">
        <f>VLOOKUP(C319,Автомобили!$A$2:$G$1000,3,0)</f>
        <v/>
      </c>
      <c r="I319">
        <f>VLOOKUP(D319,Клиенты!$A$2:$D$1000,2,0)</f>
        <v/>
      </c>
      <c r="J319">
        <f>IF(AND(H319="Kaptur",I319="Окраинов Л.Г.",YEAR(B319)=2020),E319,0)</f>
        <v/>
      </c>
    </row>
    <row r="320">
      <c r="A320" s="6" t="n">
        <v>319</v>
      </c>
      <c r="B320" s="13" t="n">
        <v>43910</v>
      </c>
      <c r="C320" s="6" t="inlineStr">
        <is>
          <t>A48</t>
        </is>
      </c>
      <c r="D320" s="6" t="n">
        <v>7</v>
      </c>
      <c r="E320" s="15" t="n">
        <v>272</v>
      </c>
      <c r="F320" s="5" t="inlineStr">
        <is>
          <t>нет</t>
        </is>
      </c>
      <c r="H320">
        <f>VLOOKUP(C320,Автомобили!$A$2:$G$1000,3,0)</f>
        <v/>
      </c>
      <c r="I320">
        <f>VLOOKUP(D320,Клиенты!$A$2:$D$1000,2,0)</f>
        <v/>
      </c>
      <c r="J320">
        <f>IF(AND(H320="Kaptur",I320="Окраинов Л.Г.",YEAR(B320)=2020),E320,0)</f>
        <v/>
      </c>
    </row>
    <row r="321">
      <c r="A321" s="6" t="n">
        <v>320</v>
      </c>
      <c r="B321" s="13" t="n">
        <v>43910</v>
      </c>
      <c r="C321" s="6" t="inlineStr">
        <is>
          <t>A45</t>
        </is>
      </c>
      <c r="D321" s="6" t="n">
        <v>11</v>
      </c>
      <c r="E321" s="15" t="n">
        <v>212</v>
      </c>
      <c r="F321" s="5" t="inlineStr">
        <is>
          <t>нет</t>
        </is>
      </c>
      <c r="H321">
        <f>VLOOKUP(C321,Автомобили!$A$2:$G$1000,3,0)</f>
        <v/>
      </c>
      <c r="I321">
        <f>VLOOKUP(D321,Клиенты!$A$2:$D$1000,2,0)</f>
        <v/>
      </c>
      <c r="J321">
        <f>IF(AND(H321="Kaptur",I321="Окраинов Л.Г.",YEAR(B321)=2020),E321,0)</f>
        <v/>
      </c>
    </row>
    <row r="322">
      <c r="A322" s="6" t="n">
        <v>321</v>
      </c>
      <c r="B322" s="13" t="n">
        <v>43911</v>
      </c>
      <c r="C322" s="6" t="inlineStr">
        <is>
          <t>A47</t>
        </is>
      </c>
      <c r="D322" s="6" t="n">
        <v>7</v>
      </c>
      <c r="E322" s="15" t="n">
        <v>194</v>
      </c>
      <c r="F322" s="5" t="inlineStr">
        <is>
          <t>нет</t>
        </is>
      </c>
      <c r="H322">
        <f>VLOOKUP(C322,Автомобили!$A$2:$G$1000,3,0)</f>
        <v/>
      </c>
      <c r="I322">
        <f>VLOOKUP(D322,Клиенты!$A$2:$D$1000,2,0)</f>
        <v/>
      </c>
      <c r="J322">
        <f>IF(AND(H322="Kaptur",I322="Окраинов Л.Г.",YEAR(B322)=2020),E322,0)</f>
        <v/>
      </c>
    </row>
    <row r="323">
      <c r="A323" s="6" t="n">
        <v>322</v>
      </c>
      <c r="B323" s="13" t="n">
        <v>43911</v>
      </c>
      <c r="C323" s="6" t="inlineStr">
        <is>
          <t>A63</t>
        </is>
      </c>
      <c r="D323" s="6" t="n">
        <v>8</v>
      </c>
      <c r="E323" s="15" t="n">
        <v>336</v>
      </c>
      <c r="F323" s="5" t="inlineStr">
        <is>
          <t>нет</t>
        </is>
      </c>
      <c r="H323">
        <f>VLOOKUP(C323,Автомобили!$A$2:$G$1000,3,0)</f>
        <v/>
      </c>
      <c r="I323">
        <f>VLOOKUP(D323,Клиенты!$A$2:$D$1000,2,0)</f>
        <v/>
      </c>
      <c r="J323">
        <f>IF(AND(H323="Kaptur",I323="Окраинов Л.Г.",YEAR(B323)=2020),E323,0)</f>
        <v/>
      </c>
    </row>
    <row r="324">
      <c r="A324" s="6" t="n">
        <v>323</v>
      </c>
      <c r="B324" s="13" t="n">
        <v>43911</v>
      </c>
      <c r="C324" s="6" t="inlineStr">
        <is>
          <t>A24</t>
        </is>
      </c>
      <c r="D324" s="6" t="n">
        <v>13</v>
      </c>
      <c r="E324" s="15" t="n">
        <v>201</v>
      </c>
      <c r="F324" s="5" t="inlineStr">
        <is>
          <t>нет</t>
        </is>
      </c>
      <c r="H324">
        <f>VLOOKUP(C324,Автомобили!$A$2:$G$1000,3,0)</f>
        <v/>
      </c>
      <c r="I324">
        <f>VLOOKUP(D324,Клиенты!$A$2:$D$1000,2,0)</f>
        <v/>
      </c>
      <c r="J324">
        <f>IF(AND(H324="Kaptur",I324="Окраинов Л.Г.",YEAR(B324)=2020),E324,0)</f>
        <v/>
      </c>
    </row>
    <row r="325">
      <c r="A325" s="6" t="n">
        <v>324</v>
      </c>
      <c r="B325" s="13" t="n">
        <v>43911</v>
      </c>
      <c r="C325" s="6" t="inlineStr">
        <is>
          <t>A6</t>
        </is>
      </c>
      <c r="D325" s="6" t="n">
        <v>15</v>
      </c>
      <c r="E325" s="15" t="n">
        <v>390</v>
      </c>
      <c r="F325" s="5" t="inlineStr">
        <is>
          <t>нет</t>
        </is>
      </c>
      <c r="H325">
        <f>VLOOKUP(C325,Автомобили!$A$2:$G$1000,3,0)</f>
        <v/>
      </c>
      <c r="I325">
        <f>VLOOKUP(D325,Клиенты!$A$2:$D$1000,2,0)</f>
        <v/>
      </c>
      <c r="J325">
        <f>IF(AND(H325="Kaptur",I325="Окраинов Л.Г.",YEAR(B325)=2020),E325,0)</f>
        <v/>
      </c>
    </row>
    <row r="326">
      <c r="A326" s="6" t="n">
        <v>325</v>
      </c>
      <c r="B326" s="13" t="n">
        <v>43912</v>
      </c>
      <c r="C326" s="6" t="inlineStr">
        <is>
          <t>A41</t>
        </is>
      </c>
      <c r="D326" s="6" t="n">
        <v>1</v>
      </c>
      <c r="E326" s="15" t="n">
        <v>106</v>
      </c>
      <c r="F326" s="5" t="inlineStr">
        <is>
          <t>нет</t>
        </is>
      </c>
      <c r="H326">
        <f>VLOOKUP(C326,Автомобили!$A$2:$G$1000,3,0)</f>
        <v/>
      </c>
      <c r="I326">
        <f>VLOOKUP(D326,Клиенты!$A$2:$D$1000,2,0)</f>
        <v/>
      </c>
      <c r="J326">
        <f>IF(AND(H326="Kaptur",I326="Окраинов Л.Г.",YEAR(B326)=2020),E326,0)</f>
        <v/>
      </c>
    </row>
    <row r="327">
      <c r="A327" s="6" t="n">
        <v>326</v>
      </c>
      <c r="B327" s="13" t="n">
        <v>43912</v>
      </c>
      <c r="C327" s="6" t="inlineStr">
        <is>
          <t>A65</t>
        </is>
      </c>
      <c r="D327" s="6" t="n">
        <v>15</v>
      </c>
      <c r="E327" s="15" t="n">
        <v>221</v>
      </c>
      <c r="F327" s="5" t="inlineStr">
        <is>
          <t>нет</t>
        </is>
      </c>
      <c r="H327">
        <f>VLOOKUP(C327,Автомобили!$A$2:$G$1000,3,0)</f>
        <v/>
      </c>
      <c r="I327">
        <f>VLOOKUP(D327,Клиенты!$A$2:$D$1000,2,0)</f>
        <v/>
      </c>
      <c r="J327">
        <f>IF(AND(H327="Kaptur",I327="Окраинов Л.Г.",YEAR(B327)=2020),E327,0)</f>
        <v/>
      </c>
    </row>
    <row r="328">
      <c r="A328" s="6" t="n">
        <v>327</v>
      </c>
      <c r="B328" s="13" t="n">
        <v>43912</v>
      </c>
      <c r="C328" s="6" t="inlineStr">
        <is>
          <t>A20</t>
        </is>
      </c>
      <c r="D328" s="6" t="n">
        <v>2</v>
      </c>
      <c r="E328" s="15" t="n">
        <v>299</v>
      </c>
      <c r="F328" s="5" t="inlineStr">
        <is>
          <t>нет</t>
        </is>
      </c>
      <c r="H328">
        <f>VLOOKUP(C328,Автомобили!$A$2:$G$1000,3,0)</f>
        <v/>
      </c>
      <c r="I328">
        <f>VLOOKUP(D328,Клиенты!$A$2:$D$1000,2,0)</f>
        <v/>
      </c>
      <c r="J328">
        <f>IF(AND(H328="Kaptur",I328="Окраинов Л.Г.",YEAR(B328)=2020),E328,0)</f>
        <v/>
      </c>
    </row>
    <row r="329">
      <c r="A329" s="6" t="n">
        <v>328</v>
      </c>
      <c r="B329" s="13" t="n">
        <v>43912</v>
      </c>
      <c r="C329" s="6" t="inlineStr">
        <is>
          <t>A63</t>
        </is>
      </c>
      <c r="D329" s="6" t="n">
        <v>4</v>
      </c>
      <c r="E329" s="15" t="n">
        <v>266</v>
      </c>
      <c r="F329" s="5" t="inlineStr">
        <is>
          <t>нет</t>
        </is>
      </c>
      <c r="H329">
        <f>VLOOKUP(C329,Автомобили!$A$2:$G$1000,3,0)</f>
        <v/>
      </c>
      <c r="I329">
        <f>VLOOKUP(D329,Клиенты!$A$2:$D$1000,2,0)</f>
        <v/>
      </c>
      <c r="J329">
        <f>IF(AND(H329="Kaptur",I329="Окраинов Л.Г.",YEAR(B329)=2020),E329,0)</f>
        <v/>
      </c>
    </row>
    <row r="330">
      <c r="A330" s="6" t="n">
        <v>329</v>
      </c>
      <c r="B330" s="13" t="n">
        <v>43913</v>
      </c>
      <c r="C330" s="6" t="inlineStr">
        <is>
          <t>A24</t>
        </is>
      </c>
      <c r="D330" s="6" t="n">
        <v>14</v>
      </c>
      <c r="E330" s="15" t="n">
        <v>389</v>
      </c>
      <c r="F330" s="5" t="inlineStr">
        <is>
          <t>нет</t>
        </is>
      </c>
      <c r="H330">
        <f>VLOOKUP(C330,Автомобили!$A$2:$G$1000,3,0)</f>
        <v/>
      </c>
      <c r="I330">
        <f>VLOOKUP(D330,Клиенты!$A$2:$D$1000,2,0)</f>
        <v/>
      </c>
      <c r="J330">
        <f>IF(AND(H330="Kaptur",I330="Окраинов Л.Г.",YEAR(B330)=2020),E330,0)</f>
        <v/>
      </c>
    </row>
    <row r="331">
      <c r="A331" s="6" t="n">
        <v>330</v>
      </c>
      <c r="B331" s="13" t="n">
        <v>43913</v>
      </c>
      <c r="C331" s="6" t="inlineStr">
        <is>
          <t>A57</t>
        </is>
      </c>
      <c r="D331" s="6" t="n">
        <v>8</v>
      </c>
      <c r="E331" s="15" t="n">
        <v>410</v>
      </c>
      <c r="F331" s="5" t="inlineStr">
        <is>
          <t>нет</t>
        </is>
      </c>
      <c r="H331">
        <f>VLOOKUP(C331,Автомобили!$A$2:$G$1000,3,0)</f>
        <v/>
      </c>
      <c r="I331">
        <f>VLOOKUP(D331,Клиенты!$A$2:$D$1000,2,0)</f>
        <v/>
      </c>
      <c r="J331">
        <f>IF(AND(H331="Kaptur",I331="Окраинов Л.Г.",YEAR(B331)=2020),E331,0)</f>
        <v/>
      </c>
    </row>
    <row r="332">
      <c r="A332" s="6" t="n">
        <v>331</v>
      </c>
      <c r="B332" s="13" t="n">
        <v>43913</v>
      </c>
      <c r="C332" s="6" t="inlineStr">
        <is>
          <t>A16</t>
        </is>
      </c>
      <c r="D332" s="6" t="n">
        <v>5</v>
      </c>
      <c r="E332" s="15" t="n">
        <v>435</v>
      </c>
      <c r="F332" s="5" t="inlineStr">
        <is>
          <t>нет</t>
        </is>
      </c>
      <c r="H332">
        <f>VLOOKUP(C332,Автомобили!$A$2:$G$1000,3,0)</f>
        <v/>
      </c>
      <c r="I332">
        <f>VLOOKUP(D332,Клиенты!$A$2:$D$1000,2,0)</f>
        <v/>
      </c>
      <c r="J332">
        <f>IF(AND(H332="Kaptur",I332="Окраинов Л.Г.",YEAR(B332)=2020),E332,0)</f>
        <v/>
      </c>
    </row>
    <row r="333">
      <c r="A333" s="6" t="n">
        <v>332</v>
      </c>
      <c r="B333" s="13" t="n">
        <v>43913</v>
      </c>
      <c r="C333" s="6" t="inlineStr">
        <is>
          <t>A33</t>
        </is>
      </c>
      <c r="D333" s="6" t="n">
        <v>8</v>
      </c>
      <c r="E333" s="15" t="n">
        <v>366</v>
      </c>
      <c r="F333" s="5" t="inlineStr">
        <is>
          <t>нет</t>
        </is>
      </c>
      <c r="H333">
        <f>VLOOKUP(C333,Автомобили!$A$2:$G$1000,3,0)</f>
        <v/>
      </c>
      <c r="I333">
        <f>VLOOKUP(D333,Клиенты!$A$2:$D$1000,2,0)</f>
        <v/>
      </c>
      <c r="J333">
        <f>IF(AND(H333="Kaptur",I333="Окраинов Л.Г.",YEAR(B333)=2020),E333,0)</f>
        <v/>
      </c>
    </row>
    <row r="334">
      <c r="A334" s="6" t="n">
        <v>333</v>
      </c>
      <c r="B334" s="13" t="n">
        <v>43914</v>
      </c>
      <c r="C334" s="6" t="inlineStr">
        <is>
          <t>A9</t>
        </is>
      </c>
      <c r="D334" s="6" t="n">
        <v>6</v>
      </c>
      <c r="E334" s="15" t="n">
        <v>311</v>
      </c>
      <c r="F334" s="5" t="inlineStr">
        <is>
          <t>нет</t>
        </is>
      </c>
      <c r="H334">
        <f>VLOOKUP(C334,Автомобили!$A$2:$G$1000,3,0)</f>
        <v/>
      </c>
      <c r="I334">
        <f>VLOOKUP(D334,Клиенты!$A$2:$D$1000,2,0)</f>
        <v/>
      </c>
      <c r="J334">
        <f>IF(AND(H334="Kaptur",I334="Окраинов Л.Г.",YEAR(B334)=2020),E334,0)</f>
        <v/>
      </c>
    </row>
    <row r="335">
      <c r="A335" s="6" t="n">
        <v>334</v>
      </c>
      <c r="B335" s="13" t="n">
        <v>43914</v>
      </c>
      <c r="C335" s="6" t="inlineStr">
        <is>
          <t>A5</t>
        </is>
      </c>
      <c r="D335" s="6" t="n">
        <v>7</v>
      </c>
      <c r="E335" s="15" t="n">
        <v>197</v>
      </c>
      <c r="F335" s="5" t="inlineStr">
        <is>
          <t>нет</t>
        </is>
      </c>
      <c r="H335">
        <f>VLOOKUP(C335,Автомобили!$A$2:$G$1000,3,0)</f>
        <v/>
      </c>
      <c r="I335">
        <f>VLOOKUP(D335,Клиенты!$A$2:$D$1000,2,0)</f>
        <v/>
      </c>
      <c r="J335">
        <f>IF(AND(H335="Kaptur",I335="Окраинов Л.Г.",YEAR(B335)=2020),E335,0)</f>
        <v/>
      </c>
    </row>
    <row r="336">
      <c r="A336" s="6" t="n">
        <v>335</v>
      </c>
      <c r="B336" s="13" t="n">
        <v>43914</v>
      </c>
      <c r="C336" s="6" t="inlineStr">
        <is>
          <t>A62</t>
        </is>
      </c>
      <c r="D336" s="6" t="n">
        <v>9</v>
      </c>
      <c r="E336" s="15" t="n">
        <v>314</v>
      </c>
      <c r="F336" s="5" t="inlineStr">
        <is>
          <t>нет</t>
        </is>
      </c>
      <c r="H336">
        <f>VLOOKUP(C336,Автомобили!$A$2:$G$1000,3,0)</f>
        <v/>
      </c>
      <c r="I336">
        <f>VLOOKUP(D336,Клиенты!$A$2:$D$1000,2,0)</f>
        <v/>
      </c>
      <c r="J336">
        <f>IF(AND(H336="Kaptur",I336="Окраинов Л.Г.",YEAR(B336)=2020),E336,0)</f>
        <v/>
      </c>
    </row>
    <row r="337">
      <c r="A337" s="6" t="n">
        <v>336</v>
      </c>
      <c r="B337" s="13" t="n">
        <v>43914</v>
      </c>
      <c r="C337" s="6" t="inlineStr">
        <is>
          <t>A32</t>
        </is>
      </c>
      <c r="D337" s="6" t="n">
        <v>4</v>
      </c>
      <c r="E337" s="15" t="n">
        <v>321</v>
      </c>
      <c r="F337" s="5" t="inlineStr">
        <is>
          <t>нет</t>
        </is>
      </c>
      <c r="H337">
        <f>VLOOKUP(C337,Автомобили!$A$2:$G$1000,3,0)</f>
        <v/>
      </c>
      <c r="I337">
        <f>VLOOKUP(D337,Клиенты!$A$2:$D$1000,2,0)</f>
        <v/>
      </c>
      <c r="J337">
        <f>IF(AND(H337="Kaptur",I337="Окраинов Л.Г.",YEAR(B337)=2020),E337,0)</f>
        <v/>
      </c>
    </row>
    <row r="338">
      <c r="A338" s="6" t="n">
        <v>337</v>
      </c>
      <c r="B338" s="13" t="n">
        <v>43915</v>
      </c>
      <c r="C338" s="6" t="inlineStr">
        <is>
          <t>A40</t>
        </is>
      </c>
      <c r="D338" s="6" t="n">
        <v>13</v>
      </c>
      <c r="E338" s="15" t="n">
        <v>102</v>
      </c>
      <c r="F338" s="5" t="inlineStr">
        <is>
          <t>нет</t>
        </is>
      </c>
      <c r="H338">
        <f>VLOOKUP(C338,Автомобили!$A$2:$G$1000,3,0)</f>
        <v/>
      </c>
      <c r="I338">
        <f>VLOOKUP(D338,Клиенты!$A$2:$D$1000,2,0)</f>
        <v/>
      </c>
      <c r="J338">
        <f>IF(AND(H338="Kaptur",I338="Окраинов Л.Г.",YEAR(B338)=2020),E338,0)</f>
        <v/>
      </c>
    </row>
    <row r="339">
      <c r="A339" s="6" t="n">
        <v>338</v>
      </c>
      <c r="B339" s="13" t="n">
        <v>43915</v>
      </c>
      <c r="C339" s="6" t="inlineStr">
        <is>
          <t>A24</t>
        </is>
      </c>
      <c r="D339" s="6" t="n">
        <v>11</v>
      </c>
      <c r="E339" s="15" t="n">
        <v>256</v>
      </c>
      <c r="F339" s="5" t="inlineStr">
        <is>
          <t>нет</t>
        </is>
      </c>
      <c r="H339">
        <f>VLOOKUP(C339,Автомобили!$A$2:$G$1000,3,0)</f>
        <v/>
      </c>
      <c r="I339">
        <f>VLOOKUP(D339,Клиенты!$A$2:$D$1000,2,0)</f>
        <v/>
      </c>
      <c r="J339">
        <f>IF(AND(H339="Kaptur",I339="Окраинов Л.Г.",YEAR(B339)=2020),E339,0)</f>
        <v/>
      </c>
    </row>
    <row r="340">
      <c r="A340" s="6" t="n">
        <v>339</v>
      </c>
      <c r="B340" s="13" t="n">
        <v>43915</v>
      </c>
      <c r="C340" s="6" t="inlineStr">
        <is>
          <t>A47</t>
        </is>
      </c>
      <c r="D340" s="6" t="n">
        <v>9</v>
      </c>
      <c r="E340" s="15" t="n">
        <v>401</v>
      </c>
      <c r="F340" s="5" t="inlineStr">
        <is>
          <t>нет</t>
        </is>
      </c>
      <c r="H340">
        <f>VLOOKUP(C340,Автомобили!$A$2:$G$1000,3,0)</f>
        <v/>
      </c>
      <c r="I340">
        <f>VLOOKUP(D340,Клиенты!$A$2:$D$1000,2,0)</f>
        <v/>
      </c>
      <c r="J340">
        <f>IF(AND(H340="Kaptur",I340="Окраинов Л.Г.",YEAR(B340)=2020),E340,0)</f>
        <v/>
      </c>
    </row>
    <row r="341">
      <c r="A341" s="6" t="n">
        <v>340</v>
      </c>
      <c r="B341" s="13" t="n">
        <v>43915</v>
      </c>
      <c r="C341" s="6" t="inlineStr">
        <is>
          <t>A50</t>
        </is>
      </c>
      <c r="D341" s="6" t="n">
        <v>9</v>
      </c>
      <c r="E341" s="15" t="n">
        <v>240</v>
      </c>
      <c r="F341" s="5" t="inlineStr">
        <is>
          <t>нет</t>
        </is>
      </c>
      <c r="H341">
        <f>VLOOKUP(C341,Автомобили!$A$2:$G$1000,3,0)</f>
        <v/>
      </c>
      <c r="I341">
        <f>VLOOKUP(D341,Клиенты!$A$2:$D$1000,2,0)</f>
        <v/>
      </c>
      <c r="J341">
        <f>IF(AND(H341="Kaptur",I341="Окраинов Л.Г.",YEAR(B341)=2020),E341,0)</f>
        <v/>
      </c>
    </row>
    <row r="342">
      <c r="A342" s="6" t="n">
        <v>341</v>
      </c>
      <c r="B342" s="13" t="n">
        <v>43916</v>
      </c>
      <c r="C342" s="6" t="inlineStr">
        <is>
          <t>A15</t>
        </is>
      </c>
      <c r="D342" s="6" t="n">
        <v>15</v>
      </c>
      <c r="E342" s="15" t="n">
        <v>345</v>
      </c>
      <c r="F342" s="5" t="inlineStr">
        <is>
          <t>нет</t>
        </is>
      </c>
      <c r="H342">
        <f>VLOOKUP(C342,Автомобили!$A$2:$G$1000,3,0)</f>
        <v/>
      </c>
      <c r="I342">
        <f>VLOOKUP(D342,Клиенты!$A$2:$D$1000,2,0)</f>
        <v/>
      </c>
      <c r="J342">
        <f>IF(AND(H342="Kaptur",I342="Окраинов Л.Г.",YEAR(B342)=2020),E342,0)</f>
        <v/>
      </c>
    </row>
    <row r="343">
      <c r="A343" s="6" t="n">
        <v>342</v>
      </c>
      <c r="B343" s="13" t="n">
        <v>43916</v>
      </c>
      <c r="C343" s="6" t="inlineStr">
        <is>
          <t>A53</t>
        </is>
      </c>
      <c r="D343" s="6" t="n">
        <v>1</v>
      </c>
      <c r="E343" s="15" t="n">
        <v>205</v>
      </c>
      <c r="F343" s="5" t="inlineStr">
        <is>
          <t>нет</t>
        </is>
      </c>
      <c r="H343">
        <f>VLOOKUP(C343,Автомобили!$A$2:$G$1000,3,0)</f>
        <v/>
      </c>
      <c r="I343">
        <f>VLOOKUP(D343,Клиенты!$A$2:$D$1000,2,0)</f>
        <v/>
      </c>
      <c r="J343">
        <f>IF(AND(H343="Kaptur",I343="Окраинов Л.Г.",YEAR(B343)=2020),E343,0)</f>
        <v/>
      </c>
    </row>
    <row r="344">
      <c r="A344" s="6" t="n">
        <v>343</v>
      </c>
      <c r="B344" s="13" t="n">
        <v>43916</v>
      </c>
      <c r="C344" s="6" t="inlineStr">
        <is>
          <t>A40</t>
        </is>
      </c>
      <c r="D344" s="6" t="n">
        <v>7</v>
      </c>
      <c r="E344" s="15" t="n">
        <v>374</v>
      </c>
      <c r="F344" s="5" t="inlineStr">
        <is>
          <t>нет</t>
        </is>
      </c>
      <c r="H344">
        <f>VLOOKUP(C344,Автомобили!$A$2:$G$1000,3,0)</f>
        <v/>
      </c>
      <c r="I344">
        <f>VLOOKUP(D344,Клиенты!$A$2:$D$1000,2,0)</f>
        <v/>
      </c>
      <c r="J344">
        <f>IF(AND(H344="Kaptur",I344="Окраинов Л.Г.",YEAR(B344)=2020),E344,0)</f>
        <v/>
      </c>
    </row>
    <row r="345">
      <c r="A345" s="6" t="n">
        <v>344</v>
      </c>
      <c r="B345" s="13" t="n">
        <v>43916</v>
      </c>
      <c r="C345" s="6" t="inlineStr">
        <is>
          <t>A61</t>
        </is>
      </c>
      <c r="D345" s="6" t="n">
        <v>10</v>
      </c>
      <c r="E345" s="15" t="n">
        <v>388</v>
      </c>
      <c r="F345" s="5" t="inlineStr">
        <is>
          <t>нет</t>
        </is>
      </c>
      <c r="H345">
        <f>VLOOKUP(C345,Автомобили!$A$2:$G$1000,3,0)</f>
        <v/>
      </c>
      <c r="I345">
        <f>VLOOKUP(D345,Клиенты!$A$2:$D$1000,2,0)</f>
        <v/>
      </c>
      <c r="J345">
        <f>IF(AND(H345="Kaptur",I345="Окраинов Л.Г.",YEAR(B345)=2020),E345,0)</f>
        <v/>
      </c>
    </row>
    <row r="346">
      <c r="A346" s="6" t="n">
        <v>345</v>
      </c>
      <c r="B346" s="13" t="n">
        <v>43917</v>
      </c>
      <c r="C346" s="6" t="inlineStr">
        <is>
          <t>A14</t>
        </is>
      </c>
      <c r="D346" s="6" t="n">
        <v>8</v>
      </c>
      <c r="E346" s="15" t="n">
        <v>364</v>
      </c>
      <c r="F346" s="5" t="inlineStr">
        <is>
          <t>нет</t>
        </is>
      </c>
      <c r="H346">
        <f>VLOOKUP(C346,Автомобили!$A$2:$G$1000,3,0)</f>
        <v/>
      </c>
      <c r="I346">
        <f>VLOOKUP(D346,Клиенты!$A$2:$D$1000,2,0)</f>
        <v/>
      </c>
      <c r="J346">
        <f>IF(AND(H346="Kaptur",I346="Окраинов Л.Г.",YEAR(B346)=2020),E346,0)</f>
        <v/>
      </c>
    </row>
    <row r="347">
      <c r="A347" s="6" t="n">
        <v>346</v>
      </c>
      <c r="B347" s="13" t="n">
        <v>43917</v>
      </c>
      <c r="C347" s="6" t="inlineStr">
        <is>
          <t>A18</t>
        </is>
      </c>
      <c r="D347" s="6" t="n">
        <v>13</v>
      </c>
      <c r="E347" s="15" t="n">
        <v>159</v>
      </c>
      <c r="F347" s="5" t="inlineStr">
        <is>
          <t>нет</t>
        </is>
      </c>
      <c r="H347">
        <f>VLOOKUP(C347,Автомобили!$A$2:$G$1000,3,0)</f>
        <v/>
      </c>
      <c r="I347">
        <f>VLOOKUP(D347,Клиенты!$A$2:$D$1000,2,0)</f>
        <v/>
      </c>
      <c r="J347">
        <f>IF(AND(H347="Kaptur",I347="Окраинов Л.Г.",YEAR(B347)=2020),E347,0)</f>
        <v/>
      </c>
    </row>
    <row r="348">
      <c r="A348" s="6" t="n">
        <v>347</v>
      </c>
      <c r="B348" s="13" t="n">
        <v>43917</v>
      </c>
      <c r="C348" s="6" t="inlineStr">
        <is>
          <t>A2</t>
        </is>
      </c>
      <c r="D348" s="6" t="n">
        <v>1</v>
      </c>
      <c r="E348" s="15" t="n">
        <v>90</v>
      </c>
      <c r="F348" s="5" t="inlineStr">
        <is>
          <t>нет</t>
        </is>
      </c>
      <c r="H348">
        <f>VLOOKUP(C348,Автомобили!$A$2:$G$1000,3,0)</f>
        <v/>
      </c>
      <c r="I348">
        <f>VLOOKUP(D348,Клиенты!$A$2:$D$1000,2,0)</f>
        <v/>
      </c>
      <c r="J348">
        <f>IF(AND(H348="Kaptur",I348="Окраинов Л.Г.",YEAR(B348)=2020),E348,0)</f>
        <v/>
      </c>
    </row>
    <row r="349">
      <c r="A349" s="6" t="n">
        <v>348</v>
      </c>
      <c r="B349" s="13" t="n">
        <v>43917</v>
      </c>
      <c r="C349" s="6" t="inlineStr">
        <is>
          <t>A26</t>
        </is>
      </c>
      <c r="D349" s="6" t="n">
        <v>4</v>
      </c>
      <c r="E349" s="15" t="n">
        <v>429</v>
      </c>
      <c r="F349" s="5" t="inlineStr">
        <is>
          <t>нет</t>
        </is>
      </c>
      <c r="H349">
        <f>VLOOKUP(C349,Автомобили!$A$2:$G$1000,3,0)</f>
        <v/>
      </c>
      <c r="I349">
        <f>VLOOKUP(D349,Клиенты!$A$2:$D$1000,2,0)</f>
        <v/>
      </c>
      <c r="J349">
        <f>IF(AND(H349="Kaptur",I349="Окраинов Л.Г.",YEAR(B349)=2020),E349,0)</f>
        <v/>
      </c>
    </row>
    <row r="350">
      <c r="A350" s="6" t="n">
        <v>349</v>
      </c>
      <c r="B350" s="13" t="n">
        <v>43918</v>
      </c>
      <c r="C350" s="6" t="inlineStr">
        <is>
          <t>A45</t>
        </is>
      </c>
      <c r="D350" s="6" t="n">
        <v>14</v>
      </c>
      <c r="E350" s="15" t="n">
        <v>366</v>
      </c>
      <c r="F350" s="5" t="inlineStr">
        <is>
          <t>нет</t>
        </is>
      </c>
      <c r="H350">
        <f>VLOOKUP(C350,Автомобили!$A$2:$G$1000,3,0)</f>
        <v/>
      </c>
      <c r="I350">
        <f>VLOOKUP(D350,Клиенты!$A$2:$D$1000,2,0)</f>
        <v/>
      </c>
      <c r="J350">
        <f>IF(AND(H350="Kaptur",I350="Окраинов Л.Г.",YEAR(B350)=2020),E350,0)</f>
        <v/>
      </c>
    </row>
    <row r="351">
      <c r="A351" s="6" t="n">
        <v>350</v>
      </c>
      <c r="B351" s="13" t="n">
        <v>43918</v>
      </c>
      <c r="C351" s="6" t="inlineStr">
        <is>
          <t>A20</t>
        </is>
      </c>
      <c r="D351" s="6" t="n">
        <v>1</v>
      </c>
      <c r="E351" s="15" t="n">
        <v>225</v>
      </c>
      <c r="F351" s="5" t="inlineStr">
        <is>
          <t>нет</t>
        </is>
      </c>
      <c r="H351">
        <f>VLOOKUP(C351,Автомобили!$A$2:$G$1000,3,0)</f>
        <v/>
      </c>
      <c r="I351">
        <f>VLOOKUP(D351,Клиенты!$A$2:$D$1000,2,0)</f>
        <v/>
      </c>
      <c r="J351">
        <f>IF(AND(H351="Kaptur",I351="Окраинов Л.Г.",YEAR(B351)=2020),E351,0)</f>
        <v/>
      </c>
    </row>
    <row r="352">
      <c r="A352" s="6" t="n">
        <v>351</v>
      </c>
      <c r="B352" s="13" t="n">
        <v>43918</v>
      </c>
      <c r="C352" s="6" t="inlineStr">
        <is>
          <t>A27</t>
        </is>
      </c>
      <c r="D352" s="6" t="n">
        <v>4</v>
      </c>
      <c r="E352" s="15" t="n">
        <v>250</v>
      </c>
      <c r="F352" s="5" t="inlineStr">
        <is>
          <t>нет</t>
        </is>
      </c>
      <c r="H352">
        <f>VLOOKUP(C352,Автомобили!$A$2:$G$1000,3,0)</f>
        <v/>
      </c>
      <c r="I352">
        <f>VLOOKUP(D352,Клиенты!$A$2:$D$1000,2,0)</f>
        <v/>
      </c>
      <c r="J352">
        <f>IF(AND(H352="Kaptur",I352="Окраинов Л.Г.",YEAR(B352)=2020),E352,0)</f>
        <v/>
      </c>
    </row>
    <row r="353">
      <c r="A353" s="6" t="n">
        <v>352</v>
      </c>
      <c r="B353" s="13" t="n">
        <v>43918</v>
      </c>
      <c r="C353" s="6" t="inlineStr">
        <is>
          <t>A19</t>
        </is>
      </c>
      <c r="D353" s="6" t="n">
        <v>9</v>
      </c>
      <c r="E353" s="15" t="n">
        <v>377</v>
      </c>
      <c r="F353" s="5" t="inlineStr">
        <is>
          <t>нет</t>
        </is>
      </c>
      <c r="H353">
        <f>VLOOKUP(C353,Автомобили!$A$2:$G$1000,3,0)</f>
        <v/>
      </c>
      <c r="I353">
        <f>VLOOKUP(D353,Клиенты!$A$2:$D$1000,2,0)</f>
        <v/>
      </c>
      <c r="J353">
        <f>IF(AND(H353="Kaptur",I353="Окраинов Л.Г.",YEAR(B353)=2020),E353,0)</f>
        <v/>
      </c>
    </row>
    <row r="354">
      <c r="A354" s="6" t="n">
        <v>353</v>
      </c>
      <c r="B354" s="13" t="n">
        <v>43919</v>
      </c>
      <c r="C354" s="6" t="inlineStr">
        <is>
          <t>A28</t>
        </is>
      </c>
      <c r="D354" s="6" t="n">
        <v>3</v>
      </c>
      <c r="E354" s="15" t="n">
        <v>408</v>
      </c>
      <c r="F354" s="5" t="inlineStr">
        <is>
          <t>нет</t>
        </is>
      </c>
      <c r="H354">
        <f>VLOOKUP(C354,Автомобили!$A$2:$G$1000,3,0)</f>
        <v/>
      </c>
      <c r="I354">
        <f>VLOOKUP(D354,Клиенты!$A$2:$D$1000,2,0)</f>
        <v/>
      </c>
      <c r="J354">
        <f>IF(AND(H354="Kaptur",I354="Окраинов Л.Г.",YEAR(B354)=2020),E354,0)</f>
        <v/>
      </c>
    </row>
    <row r="355">
      <c r="A355" s="6" t="n">
        <v>354</v>
      </c>
      <c r="B355" s="13" t="n">
        <v>43919</v>
      </c>
      <c r="C355" s="6" t="inlineStr">
        <is>
          <t>A39</t>
        </is>
      </c>
      <c r="D355" s="6" t="n">
        <v>12</v>
      </c>
      <c r="E355" s="15" t="n">
        <v>422</v>
      </c>
      <c r="F355" s="5" t="inlineStr">
        <is>
          <t>нет</t>
        </is>
      </c>
      <c r="H355">
        <f>VLOOKUP(C355,Автомобили!$A$2:$G$1000,3,0)</f>
        <v/>
      </c>
      <c r="I355">
        <f>VLOOKUP(D355,Клиенты!$A$2:$D$1000,2,0)</f>
        <v/>
      </c>
      <c r="J355">
        <f>IF(AND(H355="Kaptur",I355="Окраинов Л.Г.",YEAR(B355)=2020),E355,0)</f>
        <v/>
      </c>
    </row>
    <row r="356">
      <c r="A356" s="6" t="n">
        <v>355</v>
      </c>
      <c r="B356" s="13" t="n">
        <v>43919</v>
      </c>
      <c r="C356" s="6" t="inlineStr">
        <is>
          <t>A21</t>
        </is>
      </c>
      <c r="D356" s="6" t="n">
        <v>15</v>
      </c>
      <c r="E356" s="15" t="n">
        <v>190</v>
      </c>
      <c r="F356" s="5" t="inlineStr">
        <is>
          <t>нет</t>
        </is>
      </c>
      <c r="H356">
        <f>VLOOKUP(C356,Автомобили!$A$2:$G$1000,3,0)</f>
        <v/>
      </c>
      <c r="I356">
        <f>VLOOKUP(D356,Клиенты!$A$2:$D$1000,2,0)</f>
        <v/>
      </c>
      <c r="J356">
        <f>IF(AND(H356="Kaptur",I356="Окраинов Л.Г.",YEAR(B356)=2020),E356,0)</f>
        <v/>
      </c>
    </row>
    <row r="357">
      <c r="A357" s="6" t="n">
        <v>356</v>
      </c>
      <c r="B357" s="13" t="n">
        <v>43919</v>
      </c>
      <c r="C357" s="6" t="inlineStr">
        <is>
          <t>A55</t>
        </is>
      </c>
      <c r="D357" s="6" t="n">
        <v>12</v>
      </c>
      <c r="E357" s="15" t="n">
        <v>192</v>
      </c>
      <c r="F357" s="5" t="inlineStr">
        <is>
          <t>нет</t>
        </is>
      </c>
      <c r="H357">
        <f>VLOOKUP(C357,Автомобили!$A$2:$G$1000,3,0)</f>
        <v/>
      </c>
      <c r="I357">
        <f>VLOOKUP(D357,Клиенты!$A$2:$D$1000,2,0)</f>
        <v/>
      </c>
      <c r="J357">
        <f>IF(AND(H357="Kaptur",I357="Окраинов Л.Г.",YEAR(B357)=2020),E357,0)</f>
        <v/>
      </c>
    </row>
    <row r="358">
      <c r="A358" s="6" t="n">
        <v>357</v>
      </c>
      <c r="B358" s="13" t="n">
        <v>43920</v>
      </c>
      <c r="C358" s="6" t="inlineStr">
        <is>
          <t>A25</t>
        </is>
      </c>
      <c r="D358" s="6" t="n">
        <v>8</v>
      </c>
      <c r="E358" s="15" t="n">
        <v>339</v>
      </c>
      <c r="F358" s="5" t="inlineStr">
        <is>
          <t>нет</t>
        </is>
      </c>
      <c r="H358">
        <f>VLOOKUP(C358,Автомобили!$A$2:$G$1000,3,0)</f>
        <v/>
      </c>
      <c r="I358">
        <f>VLOOKUP(D358,Клиенты!$A$2:$D$1000,2,0)</f>
        <v/>
      </c>
      <c r="J358">
        <f>IF(AND(H358="Kaptur",I358="Окраинов Л.Г.",YEAR(B358)=2020),E358,0)</f>
        <v/>
      </c>
    </row>
    <row r="359">
      <c r="A359" s="6" t="n">
        <v>358</v>
      </c>
      <c r="B359" s="13" t="n">
        <v>43920</v>
      </c>
      <c r="C359" s="6" t="inlineStr">
        <is>
          <t>A62</t>
        </is>
      </c>
      <c r="D359" s="6" t="n">
        <v>7</v>
      </c>
      <c r="E359" s="15" t="n">
        <v>383</v>
      </c>
      <c r="F359" s="5" t="inlineStr">
        <is>
          <t>нет</t>
        </is>
      </c>
      <c r="H359">
        <f>VLOOKUP(C359,Автомобили!$A$2:$G$1000,3,0)</f>
        <v/>
      </c>
      <c r="I359">
        <f>VLOOKUP(D359,Клиенты!$A$2:$D$1000,2,0)</f>
        <v/>
      </c>
      <c r="J359">
        <f>IF(AND(H359="Kaptur",I359="Окраинов Л.Г.",YEAR(B359)=2020),E359,0)</f>
        <v/>
      </c>
    </row>
    <row r="360">
      <c r="A360" s="6" t="n">
        <v>359</v>
      </c>
      <c r="B360" s="13" t="n">
        <v>43920</v>
      </c>
      <c r="C360" s="6" t="inlineStr">
        <is>
          <t>A14</t>
        </is>
      </c>
      <c r="D360" s="6" t="n">
        <v>5</v>
      </c>
      <c r="E360" s="15" t="n">
        <v>117</v>
      </c>
      <c r="F360" s="5" t="inlineStr">
        <is>
          <t>нет</t>
        </is>
      </c>
      <c r="H360">
        <f>VLOOKUP(C360,Автомобили!$A$2:$G$1000,3,0)</f>
        <v/>
      </c>
      <c r="I360">
        <f>VLOOKUP(D360,Клиенты!$A$2:$D$1000,2,0)</f>
        <v/>
      </c>
      <c r="J360">
        <f>IF(AND(H360="Kaptur",I360="Окраинов Л.Г.",YEAR(B360)=2020),E360,0)</f>
        <v/>
      </c>
    </row>
    <row r="361">
      <c r="A361" s="6" t="n">
        <v>360</v>
      </c>
      <c r="B361" s="13" t="n">
        <v>43920</v>
      </c>
      <c r="C361" s="6" t="inlineStr">
        <is>
          <t>A19</t>
        </is>
      </c>
      <c r="D361" s="6" t="n">
        <v>6</v>
      </c>
      <c r="E361" s="15" t="n">
        <v>409</v>
      </c>
      <c r="F361" s="5" t="inlineStr">
        <is>
          <t>нет</t>
        </is>
      </c>
      <c r="H361">
        <f>VLOOKUP(C361,Автомобили!$A$2:$G$1000,3,0)</f>
        <v/>
      </c>
      <c r="I361">
        <f>VLOOKUP(D361,Клиенты!$A$2:$D$1000,2,0)</f>
        <v/>
      </c>
      <c r="J361">
        <f>IF(AND(H361="Kaptur",I361="Окраинов Л.Г.",YEAR(B361)=2020),E361,0)</f>
        <v/>
      </c>
    </row>
    <row r="362">
      <c r="A362" s="6" t="n">
        <v>361</v>
      </c>
      <c r="B362" s="13" t="n">
        <v>43921</v>
      </c>
      <c r="C362" s="6" t="inlineStr">
        <is>
          <t>A19</t>
        </is>
      </c>
      <c r="D362" s="6" t="n">
        <v>6</v>
      </c>
      <c r="E362" s="15" t="n">
        <v>282</v>
      </c>
      <c r="F362" s="5" t="inlineStr">
        <is>
          <t>нет</t>
        </is>
      </c>
      <c r="H362">
        <f>VLOOKUP(C362,Автомобили!$A$2:$G$1000,3,0)</f>
        <v/>
      </c>
      <c r="I362">
        <f>VLOOKUP(D362,Клиенты!$A$2:$D$1000,2,0)</f>
        <v/>
      </c>
      <c r="J362">
        <f>IF(AND(H362="Kaptur",I362="Окраинов Л.Г.",YEAR(B362)=2020),E362,0)</f>
        <v/>
      </c>
    </row>
    <row r="363">
      <c r="A363" s="6" t="n">
        <v>362</v>
      </c>
      <c r="B363" s="13" t="n">
        <v>43921</v>
      </c>
      <c r="C363" s="6" t="inlineStr">
        <is>
          <t>A15</t>
        </is>
      </c>
      <c r="D363" s="6" t="n">
        <v>12</v>
      </c>
      <c r="E363" s="15" t="n">
        <v>389</v>
      </c>
      <c r="F363" s="5" t="inlineStr">
        <is>
          <t>нет</t>
        </is>
      </c>
      <c r="H363">
        <f>VLOOKUP(C363,Автомобили!$A$2:$G$1000,3,0)</f>
        <v/>
      </c>
      <c r="I363">
        <f>VLOOKUP(D363,Клиенты!$A$2:$D$1000,2,0)</f>
        <v/>
      </c>
      <c r="J363">
        <f>IF(AND(H363="Kaptur",I363="Окраинов Л.Г.",YEAR(B363)=2020),E363,0)</f>
        <v/>
      </c>
    </row>
    <row r="364">
      <c r="A364" s="6" t="n">
        <v>363</v>
      </c>
      <c r="B364" s="13" t="n">
        <v>43921</v>
      </c>
      <c r="C364" s="6" t="inlineStr">
        <is>
          <t>A33</t>
        </is>
      </c>
      <c r="D364" s="6" t="n">
        <v>12</v>
      </c>
      <c r="E364" s="15" t="n">
        <v>160</v>
      </c>
      <c r="F364" s="5" t="inlineStr">
        <is>
          <t>нет</t>
        </is>
      </c>
      <c r="H364">
        <f>VLOOKUP(C364,Автомобили!$A$2:$G$1000,3,0)</f>
        <v/>
      </c>
      <c r="I364">
        <f>VLOOKUP(D364,Клиенты!$A$2:$D$1000,2,0)</f>
        <v/>
      </c>
      <c r="J364">
        <f>IF(AND(H364="Kaptur",I364="Окраинов Л.Г.",YEAR(B364)=2020),E364,0)</f>
        <v/>
      </c>
    </row>
    <row r="365">
      <c r="A365" s="6" t="n">
        <v>364</v>
      </c>
      <c r="B365" s="13" t="n">
        <v>43921</v>
      </c>
      <c r="C365" s="6" t="inlineStr">
        <is>
          <t>A27</t>
        </is>
      </c>
      <c r="D365" s="6" t="n">
        <v>14</v>
      </c>
      <c r="E365" s="15" t="n">
        <v>108</v>
      </c>
      <c r="F365" s="5" t="inlineStr">
        <is>
          <t>нет</t>
        </is>
      </c>
      <c r="H365">
        <f>VLOOKUP(C365,Автомобили!$A$2:$G$1000,3,0)</f>
        <v/>
      </c>
      <c r="I365">
        <f>VLOOKUP(D365,Клиенты!$A$2:$D$1000,2,0)</f>
        <v/>
      </c>
      <c r="J365">
        <f>IF(AND(H365="Kaptur",I365="Окраинов Л.Г.",YEAR(B365)=2020),E365,0)</f>
        <v/>
      </c>
    </row>
    <row r="366">
      <c r="A366" s="6" t="n">
        <v>365</v>
      </c>
      <c r="B366" s="13" t="n">
        <v>43922</v>
      </c>
      <c r="C366" s="6" t="inlineStr">
        <is>
          <t>A36</t>
        </is>
      </c>
      <c r="D366" s="6" t="n">
        <v>2</v>
      </c>
      <c r="E366" s="15" t="n">
        <v>93</v>
      </c>
      <c r="F366" s="5" t="inlineStr">
        <is>
          <t>нет</t>
        </is>
      </c>
      <c r="H366">
        <f>VLOOKUP(C366,Автомобили!$A$2:$G$1000,3,0)</f>
        <v/>
      </c>
      <c r="I366">
        <f>VLOOKUP(D366,Клиенты!$A$2:$D$1000,2,0)</f>
        <v/>
      </c>
      <c r="J366">
        <f>IF(AND(H366="Kaptur",I366="Окраинов Л.Г.",YEAR(B366)=2020),E366,0)</f>
        <v/>
      </c>
    </row>
    <row r="367">
      <c r="A367" s="6" t="n">
        <v>366</v>
      </c>
      <c r="B367" s="13" t="n">
        <v>43922</v>
      </c>
      <c r="C367" s="6" t="inlineStr">
        <is>
          <t>A16</t>
        </is>
      </c>
      <c r="D367" s="6" t="n">
        <v>9</v>
      </c>
      <c r="E367" s="15" t="n">
        <v>229</v>
      </c>
      <c r="F367" s="5" t="inlineStr">
        <is>
          <t>нет</t>
        </is>
      </c>
      <c r="H367">
        <f>VLOOKUP(C367,Автомобили!$A$2:$G$1000,3,0)</f>
        <v/>
      </c>
      <c r="I367">
        <f>VLOOKUP(D367,Клиенты!$A$2:$D$1000,2,0)</f>
        <v/>
      </c>
      <c r="J367">
        <f>IF(AND(H367="Kaptur",I367="Окраинов Л.Г.",YEAR(B367)=2020),E367,0)</f>
        <v/>
      </c>
    </row>
    <row r="368">
      <c r="A368" s="6" t="n">
        <v>367</v>
      </c>
      <c r="B368" s="13" t="n">
        <v>43922</v>
      </c>
      <c r="C368" s="6" t="inlineStr">
        <is>
          <t>A9</t>
        </is>
      </c>
      <c r="D368" s="6" t="n">
        <v>4</v>
      </c>
      <c r="E368" s="15" t="n">
        <v>129</v>
      </c>
      <c r="F368" s="5" t="inlineStr">
        <is>
          <t>нет</t>
        </is>
      </c>
      <c r="H368">
        <f>VLOOKUP(C368,Автомобили!$A$2:$G$1000,3,0)</f>
        <v/>
      </c>
      <c r="I368">
        <f>VLOOKUP(D368,Клиенты!$A$2:$D$1000,2,0)</f>
        <v/>
      </c>
      <c r="J368">
        <f>IF(AND(H368="Kaptur",I368="Окраинов Л.Г.",YEAR(B368)=2020),E368,0)</f>
        <v/>
      </c>
    </row>
    <row r="369">
      <c r="A369" s="6" t="n">
        <v>368</v>
      </c>
      <c r="B369" s="13" t="n">
        <v>43922</v>
      </c>
      <c r="C369" s="6" t="inlineStr">
        <is>
          <t>A22</t>
        </is>
      </c>
      <c r="D369" s="6" t="n">
        <v>6</v>
      </c>
      <c r="E369" s="15" t="n">
        <v>302</v>
      </c>
      <c r="F369" s="5" t="inlineStr">
        <is>
          <t>нет</t>
        </is>
      </c>
      <c r="H369">
        <f>VLOOKUP(C369,Автомобили!$A$2:$G$1000,3,0)</f>
        <v/>
      </c>
      <c r="I369">
        <f>VLOOKUP(D369,Клиенты!$A$2:$D$1000,2,0)</f>
        <v/>
      </c>
      <c r="J369">
        <f>IF(AND(H369="Kaptur",I369="Окраинов Л.Г.",YEAR(B369)=2020),E369,0)</f>
        <v/>
      </c>
    </row>
    <row r="370">
      <c r="A370" s="6" t="n">
        <v>369</v>
      </c>
      <c r="B370" s="13" t="n">
        <v>43923</v>
      </c>
      <c r="C370" s="6" t="inlineStr">
        <is>
          <t>A24</t>
        </is>
      </c>
      <c r="D370" s="6" t="n">
        <v>4</v>
      </c>
      <c r="E370" s="15" t="n">
        <v>207</v>
      </c>
      <c r="F370" s="5" t="inlineStr">
        <is>
          <t>нет</t>
        </is>
      </c>
      <c r="H370">
        <f>VLOOKUP(C370,Автомобили!$A$2:$G$1000,3,0)</f>
        <v/>
      </c>
      <c r="I370">
        <f>VLOOKUP(D370,Клиенты!$A$2:$D$1000,2,0)</f>
        <v/>
      </c>
      <c r="J370">
        <f>IF(AND(H370="Kaptur",I370="Окраинов Л.Г.",YEAR(B370)=2020),E370,0)</f>
        <v/>
      </c>
    </row>
    <row r="371">
      <c r="A371" s="6" t="n">
        <v>370</v>
      </c>
      <c r="B371" s="13" t="n">
        <v>43923</v>
      </c>
      <c r="C371" s="6" t="inlineStr">
        <is>
          <t>A37</t>
        </is>
      </c>
      <c r="D371" s="6" t="n">
        <v>4</v>
      </c>
      <c r="E371" s="15" t="n">
        <v>279</v>
      </c>
      <c r="F371" s="5" t="inlineStr">
        <is>
          <t>нет</t>
        </is>
      </c>
      <c r="H371">
        <f>VLOOKUP(C371,Автомобили!$A$2:$G$1000,3,0)</f>
        <v/>
      </c>
      <c r="I371">
        <f>VLOOKUP(D371,Клиенты!$A$2:$D$1000,2,0)</f>
        <v/>
      </c>
      <c r="J371">
        <f>IF(AND(H371="Kaptur",I371="Окраинов Л.Г.",YEAR(B371)=2020),E371,0)</f>
        <v/>
      </c>
    </row>
    <row r="372">
      <c r="A372" s="6" t="n">
        <v>371</v>
      </c>
      <c r="B372" s="13" t="n">
        <v>43923</v>
      </c>
      <c r="C372" s="6" t="inlineStr">
        <is>
          <t>A7</t>
        </is>
      </c>
      <c r="D372" s="6" t="n">
        <v>6</v>
      </c>
      <c r="E372" s="15" t="n">
        <v>91</v>
      </c>
      <c r="F372" s="5" t="inlineStr">
        <is>
          <t>нет</t>
        </is>
      </c>
      <c r="H372">
        <f>VLOOKUP(C372,Автомобили!$A$2:$G$1000,3,0)</f>
        <v/>
      </c>
      <c r="I372">
        <f>VLOOKUP(D372,Клиенты!$A$2:$D$1000,2,0)</f>
        <v/>
      </c>
      <c r="J372">
        <f>IF(AND(H372="Kaptur",I372="Окраинов Л.Г.",YEAR(B372)=2020),E372,0)</f>
        <v/>
      </c>
    </row>
    <row r="373">
      <c r="A373" s="6" t="n">
        <v>372</v>
      </c>
      <c r="B373" s="13" t="n">
        <v>43923</v>
      </c>
      <c r="C373" s="6" t="inlineStr">
        <is>
          <t>A9</t>
        </is>
      </c>
      <c r="D373" s="6" t="n">
        <v>12</v>
      </c>
      <c r="E373" s="15" t="n">
        <v>448</v>
      </c>
      <c r="F373" s="5" t="inlineStr">
        <is>
          <t>нет</t>
        </is>
      </c>
      <c r="H373">
        <f>VLOOKUP(C373,Автомобили!$A$2:$G$1000,3,0)</f>
        <v/>
      </c>
      <c r="I373">
        <f>VLOOKUP(D373,Клиенты!$A$2:$D$1000,2,0)</f>
        <v/>
      </c>
      <c r="J373">
        <f>IF(AND(H373="Kaptur",I373="Окраинов Л.Г.",YEAR(B373)=2020),E373,0)</f>
        <v/>
      </c>
    </row>
    <row r="374">
      <c r="A374" s="6" t="n">
        <v>373</v>
      </c>
      <c r="B374" s="13" t="n">
        <v>43924</v>
      </c>
      <c r="C374" s="6" t="inlineStr">
        <is>
          <t>A39</t>
        </is>
      </c>
      <c r="D374" s="6" t="n">
        <v>2</v>
      </c>
      <c r="E374" s="15" t="n">
        <v>133</v>
      </c>
      <c r="F374" s="5" t="inlineStr">
        <is>
          <t>нет</t>
        </is>
      </c>
      <c r="H374">
        <f>VLOOKUP(C374,Автомобили!$A$2:$G$1000,3,0)</f>
        <v/>
      </c>
      <c r="I374">
        <f>VLOOKUP(D374,Клиенты!$A$2:$D$1000,2,0)</f>
        <v/>
      </c>
      <c r="J374">
        <f>IF(AND(H374="Kaptur",I374="Окраинов Л.Г.",YEAR(B374)=2020),E374,0)</f>
        <v/>
      </c>
    </row>
    <row r="375">
      <c r="A375" s="6" t="n">
        <v>374</v>
      </c>
      <c r="B375" s="13" t="n">
        <v>43924</v>
      </c>
      <c r="C375" s="6" t="inlineStr">
        <is>
          <t>A49</t>
        </is>
      </c>
      <c r="D375" s="6" t="n">
        <v>9</v>
      </c>
      <c r="E375" s="15" t="n">
        <v>287</v>
      </c>
      <c r="F375" s="5" t="inlineStr">
        <is>
          <t>нет</t>
        </is>
      </c>
      <c r="H375">
        <f>VLOOKUP(C375,Автомобили!$A$2:$G$1000,3,0)</f>
        <v/>
      </c>
      <c r="I375">
        <f>VLOOKUP(D375,Клиенты!$A$2:$D$1000,2,0)</f>
        <v/>
      </c>
      <c r="J375">
        <f>IF(AND(H375="Kaptur",I375="Окраинов Л.Г.",YEAR(B375)=2020),E375,0)</f>
        <v/>
      </c>
    </row>
    <row r="376">
      <c r="A376" s="6" t="n">
        <v>375</v>
      </c>
      <c r="B376" s="13" t="n">
        <v>43924</v>
      </c>
      <c r="C376" s="6" t="inlineStr">
        <is>
          <t>A7</t>
        </is>
      </c>
      <c r="D376" s="6" t="n">
        <v>13</v>
      </c>
      <c r="E376" s="15" t="n">
        <v>338</v>
      </c>
      <c r="F376" s="5" t="inlineStr">
        <is>
          <t>нет</t>
        </is>
      </c>
      <c r="H376">
        <f>VLOOKUP(C376,Автомобили!$A$2:$G$1000,3,0)</f>
        <v/>
      </c>
      <c r="I376">
        <f>VLOOKUP(D376,Клиенты!$A$2:$D$1000,2,0)</f>
        <v/>
      </c>
      <c r="J376">
        <f>IF(AND(H376="Kaptur",I376="Окраинов Л.Г.",YEAR(B376)=2020),E376,0)</f>
        <v/>
      </c>
    </row>
    <row r="377">
      <c r="A377" s="6" t="n">
        <v>376</v>
      </c>
      <c r="B377" s="13" t="n">
        <v>43924</v>
      </c>
      <c r="C377" s="6" t="inlineStr">
        <is>
          <t>A4</t>
        </is>
      </c>
      <c r="D377" s="6" t="n">
        <v>4</v>
      </c>
      <c r="E377" s="15" t="n">
        <v>374</v>
      </c>
      <c r="F377" s="5" t="inlineStr">
        <is>
          <t>нет</t>
        </is>
      </c>
      <c r="H377">
        <f>VLOOKUP(C377,Автомобили!$A$2:$G$1000,3,0)</f>
        <v/>
      </c>
      <c r="I377">
        <f>VLOOKUP(D377,Клиенты!$A$2:$D$1000,2,0)</f>
        <v/>
      </c>
      <c r="J377">
        <f>IF(AND(H377="Kaptur",I377="Окраинов Л.Г.",YEAR(B377)=2020),E377,0)</f>
        <v/>
      </c>
    </row>
    <row r="378">
      <c r="A378" s="6" t="n">
        <v>377</v>
      </c>
      <c r="B378" s="13" t="n">
        <v>43925</v>
      </c>
      <c r="C378" s="6" t="inlineStr">
        <is>
          <t>A9</t>
        </is>
      </c>
      <c r="D378" s="6" t="n">
        <v>9</v>
      </c>
      <c r="E378" s="15" t="n">
        <v>385</v>
      </c>
      <c r="F378" s="5" t="inlineStr">
        <is>
          <t>нет</t>
        </is>
      </c>
      <c r="H378">
        <f>VLOOKUP(C378,Автомобили!$A$2:$G$1000,3,0)</f>
        <v/>
      </c>
      <c r="I378">
        <f>VLOOKUP(D378,Клиенты!$A$2:$D$1000,2,0)</f>
        <v/>
      </c>
      <c r="J378">
        <f>IF(AND(H378="Kaptur",I378="Окраинов Л.Г.",YEAR(B378)=2020),E378,0)</f>
        <v/>
      </c>
    </row>
    <row r="379">
      <c r="A379" s="6" t="n">
        <v>378</v>
      </c>
      <c r="B379" s="13" t="n">
        <v>43925</v>
      </c>
      <c r="C379" s="6" t="inlineStr">
        <is>
          <t>A15</t>
        </is>
      </c>
      <c r="D379" s="6" t="n">
        <v>3</v>
      </c>
      <c r="E379" s="15" t="n">
        <v>404</v>
      </c>
      <c r="F379" s="5" t="inlineStr">
        <is>
          <t>нет</t>
        </is>
      </c>
      <c r="H379">
        <f>VLOOKUP(C379,Автомобили!$A$2:$G$1000,3,0)</f>
        <v/>
      </c>
      <c r="I379">
        <f>VLOOKUP(D379,Клиенты!$A$2:$D$1000,2,0)</f>
        <v/>
      </c>
      <c r="J379">
        <f>IF(AND(H379="Kaptur",I379="Окраинов Л.Г.",YEAR(B379)=2020),E379,0)</f>
        <v/>
      </c>
    </row>
    <row r="380">
      <c r="A380" s="6" t="n">
        <v>379</v>
      </c>
      <c r="B380" s="13" t="n">
        <v>43925</v>
      </c>
      <c r="C380" s="6" t="inlineStr">
        <is>
          <t>A30</t>
        </is>
      </c>
      <c r="D380" s="6" t="n">
        <v>14</v>
      </c>
      <c r="E380" s="15" t="n">
        <v>393</v>
      </c>
      <c r="F380" s="5" t="inlineStr">
        <is>
          <t>нет</t>
        </is>
      </c>
      <c r="H380">
        <f>VLOOKUP(C380,Автомобили!$A$2:$G$1000,3,0)</f>
        <v/>
      </c>
      <c r="I380">
        <f>VLOOKUP(D380,Клиенты!$A$2:$D$1000,2,0)</f>
        <v/>
      </c>
      <c r="J380">
        <f>IF(AND(H380="Kaptur",I380="Окраинов Л.Г.",YEAR(B380)=2020),E380,0)</f>
        <v/>
      </c>
    </row>
    <row r="381">
      <c r="A381" s="6" t="n">
        <v>380</v>
      </c>
      <c r="B381" s="13" t="n">
        <v>43925</v>
      </c>
      <c r="C381" s="6" t="inlineStr">
        <is>
          <t>A30</t>
        </is>
      </c>
      <c r="D381" s="6" t="n">
        <v>15</v>
      </c>
      <c r="E381" s="15" t="n">
        <v>319</v>
      </c>
      <c r="F381" s="5" t="inlineStr">
        <is>
          <t>нет</t>
        </is>
      </c>
      <c r="H381">
        <f>VLOOKUP(C381,Автомобили!$A$2:$G$1000,3,0)</f>
        <v/>
      </c>
      <c r="I381">
        <f>VLOOKUP(D381,Клиенты!$A$2:$D$1000,2,0)</f>
        <v/>
      </c>
      <c r="J381">
        <f>IF(AND(H381="Kaptur",I381="Окраинов Л.Г.",YEAR(B381)=2020),E381,0)</f>
        <v/>
      </c>
    </row>
    <row r="382">
      <c r="A382" s="6" t="n">
        <v>381</v>
      </c>
      <c r="B382" s="13" t="n">
        <v>43926</v>
      </c>
      <c r="C382" s="6" t="inlineStr">
        <is>
          <t>A59</t>
        </is>
      </c>
      <c r="D382" s="6" t="n">
        <v>8</v>
      </c>
      <c r="E382" s="15" t="n">
        <v>99</v>
      </c>
      <c r="F382" s="5" t="inlineStr">
        <is>
          <t>нет</t>
        </is>
      </c>
      <c r="H382">
        <f>VLOOKUP(C382,Автомобили!$A$2:$G$1000,3,0)</f>
        <v/>
      </c>
      <c r="I382">
        <f>VLOOKUP(D382,Клиенты!$A$2:$D$1000,2,0)</f>
        <v/>
      </c>
      <c r="J382">
        <f>IF(AND(H382="Kaptur",I382="Окраинов Л.Г.",YEAR(B382)=2020),E382,0)</f>
        <v/>
      </c>
    </row>
    <row r="383">
      <c r="A383" s="6" t="n">
        <v>382</v>
      </c>
      <c r="B383" s="13" t="n">
        <v>43926</v>
      </c>
      <c r="C383" s="6" t="inlineStr">
        <is>
          <t>A34</t>
        </is>
      </c>
      <c r="D383" s="6" t="n">
        <v>12</v>
      </c>
      <c r="E383" s="15" t="n">
        <v>75</v>
      </c>
      <c r="F383" s="5" t="inlineStr">
        <is>
          <t>нет</t>
        </is>
      </c>
      <c r="H383">
        <f>VLOOKUP(C383,Автомобили!$A$2:$G$1000,3,0)</f>
        <v/>
      </c>
      <c r="I383">
        <f>VLOOKUP(D383,Клиенты!$A$2:$D$1000,2,0)</f>
        <v/>
      </c>
      <c r="J383">
        <f>IF(AND(H383="Kaptur",I383="Окраинов Л.Г.",YEAR(B383)=2020),E383,0)</f>
        <v/>
      </c>
    </row>
    <row r="384">
      <c r="A384" s="6" t="n">
        <v>383</v>
      </c>
      <c r="B384" s="13" t="n">
        <v>43926</v>
      </c>
      <c r="C384" s="6" t="inlineStr">
        <is>
          <t>A26</t>
        </is>
      </c>
      <c r="D384" s="6" t="n">
        <v>14</v>
      </c>
      <c r="E384" s="15" t="n">
        <v>203</v>
      </c>
      <c r="F384" s="5" t="inlineStr">
        <is>
          <t>нет</t>
        </is>
      </c>
      <c r="H384">
        <f>VLOOKUP(C384,Автомобили!$A$2:$G$1000,3,0)</f>
        <v/>
      </c>
      <c r="I384">
        <f>VLOOKUP(D384,Клиенты!$A$2:$D$1000,2,0)</f>
        <v/>
      </c>
      <c r="J384">
        <f>IF(AND(H384="Kaptur",I384="Окраинов Л.Г.",YEAR(B384)=2020),E384,0)</f>
        <v/>
      </c>
    </row>
    <row r="385">
      <c r="A385" s="6" t="n">
        <v>384</v>
      </c>
      <c r="B385" s="13" t="n">
        <v>43926</v>
      </c>
      <c r="C385" s="6" t="inlineStr">
        <is>
          <t>A17</t>
        </is>
      </c>
      <c r="D385" s="6" t="n">
        <v>9</v>
      </c>
      <c r="E385" s="15" t="n">
        <v>422</v>
      </c>
      <c r="F385" s="5" t="inlineStr">
        <is>
          <t>нет</t>
        </is>
      </c>
      <c r="H385">
        <f>VLOOKUP(C385,Автомобили!$A$2:$G$1000,3,0)</f>
        <v/>
      </c>
      <c r="I385">
        <f>VLOOKUP(D385,Клиенты!$A$2:$D$1000,2,0)</f>
        <v/>
      </c>
      <c r="J385">
        <f>IF(AND(H385="Kaptur",I385="Окраинов Л.Г.",YEAR(B385)=2020),E385,0)</f>
        <v/>
      </c>
    </row>
    <row r="386">
      <c r="A386" s="6" t="n">
        <v>385</v>
      </c>
      <c r="B386" s="13" t="n">
        <v>43927</v>
      </c>
      <c r="C386" s="6" t="inlineStr">
        <is>
          <t>A56</t>
        </is>
      </c>
      <c r="D386" s="6" t="n">
        <v>4</v>
      </c>
      <c r="E386" s="15" t="n">
        <v>429</v>
      </c>
      <c r="F386" s="5" t="inlineStr">
        <is>
          <t>нет</t>
        </is>
      </c>
      <c r="H386">
        <f>VLOOKUP(C386,Автомобили!$A$2:$G$1000,3,0)</f>
        <v/>
      </c>
      <c r="I386">
        <f>VLOOKUP(D386,Клиенты!$A$2:$D$1000,2,0)</f>
        <v/>
      </c>
      <c r="J386">
        <f>IF(AND(H386="Kaptur",I386="Окраинов Л.Г.",YEAR(B386)=2020),E386,0)</f>
        <v/>
      </c>
    </row>
    <row r="387">
      <c r="A387" s="6" t="n">
        <v>386</v>
      </c>
      <c r="B387" s="13" t="n">
        <v>43927</v>
      </c>
      <c r="C387" s="6" t="inlineStr">
        <is>
          <t>A43</t>
        </is>
      </c>
      <c r="D387" s="6" t="n">
        <v>11</v>
      </c>
      <c r="E387" s="15" t="n">
        <v>136</v>
      </c>
      <c r="F387" s="5" t="inlineStr">
        <is>
          <t>нет</t>
        </is>
      </c>
      <c r="H387">
        <f>VLOOKUP(C387,Автомобили!$A$2:$G$1000,3,0)</f>
        <v/>
      </c>
      <c r="I387">
        <f>VLOOKUP(D387,Клиенты!$A$2:$D$1000,2,0)</f>
        <v/>
      </c>
      <c r="J387">
        <f>IF(AND(H387="Kaptur",I387="Окраинов Л.Г.",YEAR(B387)=2020),E387,0)</f>
        <v/>
      </c>
    </row>
    <row r="388">
      <c r="A388" s="6" t="n">
        <v>387</v>
      </c>
      <c r="B388" s="13" t="n">
        <v>43927</v>
      </c>
      <c r="C388" s="6" t="inlineStr">
        <is>
          <t>A37</t>
        </is>
      </c>
      <c r="D388" s="6" t="n">
        <v>1</v>
      </c>
      <c r="E388" s="15" t="n">
        <v>426</v>
      </c>
      <c r="F388" s="5" t="inlineStr">
        <is>
          <t>нет</t>
        </is>
      </c>
      <c r="H388">
        <f>VLOOKUP(C388,Автомобили!$A$2:$G$1000,3,0)</f>
        <v/>
      </c>
      <c r="I388">
        <f>VLOOKUP(D388,Клиенты!$A$2:$D$1000,2,0)</f>
        <v/>
      </c>
      <c r="J388">
        <f>IF(AND(H388="Kaptur",I388="Окраинов Л.Г.",YEAR(B388)=2020),E388,0)</f>
        <v/>
      </c>
    </row>
    <row r="389">
      <c r="A389" s="6" t="n">
        <v>388</v>
      </c>
      <c r="B389" s="13" t="n">
        <v>43927</v>
      </c>
      <c r="C389" s="6" t="inlineStr">
        <is>
          <t>A26</t>
        </is>
      </c>
      <c r="D389" s="6" t="n">
        <v>6</v>
      </c>
      <c r="E389" s="15" t="n">
        <v>414</v>
      </c>
      <c r="F389" s="5" t="inlineStr">
        <is>
          <t>нет</t>
        </is>
      </c>
      <c r="H389">
        <f>VLOOKUP(C389,Автомобили!$A$2:$G$1000,3,0)</f>
        <v/>
      </c>
      <c r="I389">
        <f>VLOOKUP(D389,Клиенты!$A$2:$D$1000,2,0)</f>
        <v/>
      </c>
      <c r="J389">
        <f>IF(AND(H389="Kaptur",I389="Окраинов Л.Г.",YEAR(B389)=2020),E389,0)</f>
        <v/>
      </c>
    </row>
    <row r="390">
      <c r="A390" s="6" t="n">
        <v>389</v>
      </c>
      <c r="B390" s="13" t="n">
        <v>43928</v>
      </c>
      <c r="C390" s="6" t="inlineStr">
        <is>
          <t>A1</t>
        </is>
      </c>
      <c r="D390" s="6" t="n">
        <v>13</v>
      </c>
      <c r="E390" s="15" t="n">
        <v>334</v>
      </c>
      <c r="F390" s="5" t="inlineStr">
        <is>
          <t>нет</t>
        </is>
      </c>
      <c r="H390">
        <f>VLOOKUP(C390,Автомобили!$A$2:$G$1000,3,0)</f>
        <v/>
      </c>
      <c r="I390">
        <f>VLOOKUP(D390,Клиенты!$A$2:$D$1000,2,0)</f>
        <v/>
      </c>
      <c r="J390">
        <f>IF(AND(H390="Kaptur",I390="Окраинов Л.Г.",YEAR(B390)=2020),E390,0)</f>
        <v/>
      </c>
    </row>
    <row r="391">
      <c r="A391" s="6" t="n">
        <v>390</v>
      </c>
      <c r="B391" s="13" t="n">
        <v>43928</v>
      </c>
      <c r="C391" s="6" t="inlineStr">
        <is>
          <t>A32</t>
        </is>
      </c>
      <c r="D391" s="6" t="n">
        <v>4</v>
      </c>
      <c r="E391" s="15" t="n">
        <v>105</v>
      </c>
      <c r="F391" s="5" t="inlineStr">
        <is>
          <t>нет</t>
        </is>
      </c>
      <c r="H391">
        <f>VLOOKUP(C391,Автомобили!$A$2:$G$1000,3,0)</f>
        <v/>
      </c>
      <c r="I391">
        <f>VLOOKUP(D391,Клиенты!$A$2:$D$1000,2,0)</f>
        <v/>
      </c>
      <c r="J391">
        <f>IF(AND(H391="Kaptur",I391="Окраинов Л.Г.",YEAR(B391)=2020),E391,0)</f>
        <v/>
      </c>
    </row>
    <row r="392">
      <c r="A392" s="6" t="n">
        <v>391</v>
      </c>
      <c r="B392" s="13" t="n">
        <v>43928</v>
      </c>
      <c r="C392" s="6" t="inlineStr">
        <is>
          <t>A30</t>
        </is>
      </c>
      <c r="D392" s="6" t="n">
        <v>6</v>
      </c>
      <c r="E392" s="15" t="n">
        <v>348</v>
      </c>
      <c r="F392" s="5" t="inlineStr">
        <is>
          <t>нет</t>
        </is>
      </c>
      <c r="H392">
        <f>VLOOKUP(C392,Автомобили!$A$2:$G$1000,3,0)</f>
        <v/>
      </c>
      <c r="I392">
        <f>VLOOKUP(D392,Клиенты!$A$2:$D$1000,2,0)</f>
        <v/>
      </c>
      <c r="J392">
        <f>IF(AND(H392="Kaptur",I392="Окраинов Л.Г.",YEAR(B392)=2020),E392,0)</f>
        <v/>
      </c>
    </row>
    <row r="393">
      <c r="A393" s="6" t="n">
        <v>392</v>
      </c>
      <c r="B393" s="13" t="n">
        <v>43928</v>
      </c>
      <c r="C393" s="6" t="inlineStr">
        <is>
          <t>A57</t>
        </is>
      </c>
      <c r="D393" s="6" t="n">
        <v>13</v>
      </c>
      <c r="E393" s="15" t="n">
        <v>314</v>
      </c>
      <c r="F393" s="5" t="inlineStr">
        <is>
          <t>нет</t>
        </is>
      </c>
      <c r="H393">
        <f>VLOOKUP(C393,Автомобили!$A$2:$G$1000,3,0)</f>
        <v/>
      </c>
      <c r="I393">
        <f>VLOOKUP(D393,Клиенты!$A$2:$D$1000,2,0)</f>
        <v/>
      </c>
      <c r="J393">
        <f>IF(AND(H393="Kaptur",I393="Окраинов Л.Г.",YEAR(B393)=2020),E393,0)</f>
        <v/>
      </c>
    </row>
    <row r="394">
      <c r="A394" s="6" t="n">
        <v>393</v>
      </c>
      <c r="B394" s="13" t="n">
        <v>43929</v>
      </c>
      <c r="C394" s="6" t="inlineStr">
        <is>
          <t>A62</t>
        </is>
      </c>
      <c r="D394" s="6" t="n">
        <v>14</v>
      </c>
      <c r="E394" s="15" t="n">
        <v>164</v>
      </c>
      <c r="F394" s="5" t="inlineStr">
        <is>
          <t>нет</t>
        </is>
      </c>
      <c r="H394">
        <f>VLOOKUP(C394,Автомобили!$A$2:$G$1000,3,0)</f>
        <v/>
      </c>
      <c r="I394">
        <f>VLOOKUP(D394,Клиенты!$A$2:$D$1000,2,0)</f>
        <v/>
      </c>
      <c r="J394">
        <f>IF(AND(H394="Kaptur",I394="Окраинов Л.Г.",YEAR(B394)=2020),E394,0)</f>
        <v/>
      </c>
    </row>
    <row r="395">
      <c r="A395" s="6" t="n">
        <v>394</v>
      </c>
      <c r="B395" s="13" t="n">
        <v>43929</v>
      </c>
      <c r="C395" s="6" t="inlineStr">
        <is>
          <t>A31</t>
        </is>
      </c>
      <c r="D395" s="6" t="n">
        <v>1</v>
      </c>
      <c r="E395" s="15" t="n">
        <v>379</v>
      </c>
      <c r="F395" s="5" t="inlineStr">
        <is>
          <t>нет</t>
        </is>
      </c>
      <c r="H395">
        <f>VLOOKUP(C395,Автомобили!$A$2:$G$1000,3,0)</f>
        <v/>
      </c>
      <c r="I395">
        <f>VLOOKUP(D395,Клиенты!$A$2:$D$1000,2,0)</f>
        <v/>
      </c>
      <c r="J395">
        <f>IF(AND(H395="Kaptur",I395="Окраинов Л.Г.",YEAR(B395)=2020),E395,0)</f>
        <v/>
      </c>
    </row>
    <row r="396">
      <c r="A396" s="6" t="n">
        <v>395</v>
      </c>
      <c r="B396" s="13" t="n">
        <v>43929</v>
      </c>
      <c r="C396" s="6" t="inlineStr">
        <is>
          <t>A48</t>
        </is>
      </c>
      <c r="D396" s="6" t="n">
        <v>12</v>
      </c>
      <c r="E396" s="15" t="n">
        <v>163</v>
      </c>
      <c r="F396" s="5" t="inlineStr">
        <is>
          <t>нет</t>
        </is>
      </c>
      <c r="H396">
        <f>VLOOKUP(C396,Автомобили!$A$2:$G$1000,3,0)</f>
        <v/>
      </c>
      <c r="I396">
        <f>VLOOKUP(D396,Клиенты!$A$2:$D$1000,2,0)</f>
        <v/>
      </c>
      <c r="J396">
        <f>IF(AND(H396="Kaptur",I396="Окраинов Л.Г.",YEAR(B396)=2020),E396,0)</f>
        <v/>
      </c>
    </row>
    <row r="397">
      <c r="A397" s="6" t="n">
        <v>396</v>
      </c>
      <c r="B397" s="13" t="n">
        <v>43929</v>
      </c>
      <c r="C397" s="6" t="inlineStr">
        <is>
          <t>A41</t>
        </is>
      </c>
      <c r="D397" s="6" t="n">
        <v>11</v>
      </c>
      <c r="E397" s="15" t="n">
        <v>247</v>
      </c>
      <c r="F397" s="5" t="inlineStr">
        <is>
          <t>нет</t>
        </is>
      </c>
      <c r="H397">
        <f>VLOOKUP(C397,Автомобили!$A$2:$G$1000,3,0)</f>
        <v/>
      </c>
      <c r="I397">
        <f>VLOOKUP(D397,Клиенты!$A$2:$D$1000,2,0)</f>
        <v/>
      </c>
      <c r="J397">
        <f>IF(AND(H397="Kaptur",I397="Окраинов Л.Г.",YEAR(B397)=2020),E397,0)</f>
        <v/>
      </c>
    </row>
    <row r="398">
      <c r="A398" s="6" t="n">
        <v>397</v>
      </c>
      <c r="B398" s="13" t="n">
        <v>43930</v>
      </c>
      <c r="C398" s="6" t="inlineStr">
        <is>
          <t>A2</t>
        </is>
      </c>
      <c r="D398" s="6" t="n">
        <v>1</v>
      </c>
      <c r="E398" s="15" t="n">
        <v>404</v>
      </c>
      <c r="F398" s="5" t="inlineStr">
        <is>
          <t>нет</t>
        </is>
      </c>
      <c r="H398">
        <f>VLOOKUP(C398,Автомобили!$A$2:$G$1000,3,0)</f>
        <v/>
      </c>
      <c r="I398">
        <f>VLOOKUP(D398,Клиенты!$A$2:$D$1000,2,0)</f>
        <v/>
      </c>
      <c r="J398">
        <f>IF(AND(H398="Kaptur",I398="Окраинов Л.Г.",YEAR(B398)=2020),E398,0)</f>
        <v/>
      </c>
    </row>
    <row r="399">
      <c r="A399" s="6" t="n">
        <v>398</v>
      </c>
      <c r="B399" s="13" t="n">
        <v>43930</v>
      </c>
      <c r="C399" s="6" t="inlineStr">
        <is>
          <t>A28</t>
        </is>
      </c>
      <c r="D399" s="6" t="n">
        <v>8</v>
      </c>
      <c r="E399" s="15" t="n">
        <v>217</v>
      </c>
      <c r="F399" s="5" t="inlineStr">
        <is>
          <t>нет</t>
        </is>
      </c>
      <c r="H399">
        <f>VLOOKUP(C399,Автомобили!$A$2:$G$1000,3,0)</f>
        <v/>
      </c>
      <c r="I399">
        <f>VLOOKUP(D399,Клиенты!$A$2:$D$1000,2,0)</f>
        <v/>
      </c>
      <c r="J399">
        <f>IF(AND(H399="Kaptur",I399="Окраинов Л.Г.",YEAR(B399)=2020),E399,0)</f>
        <v/>
      </c>
    </row>
    <row r="400">
      <c r="A400" s="6" t="n">
        <v>399</v>
      </c>
      <c r="B400" s="13" t="n">
        <v>43930</v>
      </c>
      <c r="C400" s="6" t="inlineStr">
        <is>
          <t>A6</t>
        </is>
      </c>
      <c r="D400" s="6" t="n">
        <v>5</v>
      </c>
      <c r="E400" s="15" t="n">
        <v>157</v>
      </c>
      <c r="F400" s="5" t="inlineStr">
        <is>
          <t>нет</t>
        </is>
      </c>
      <c r="H400">
        <f>VLOOKUP(C400,Автомобили!$A$2:$G$1000,3,0)</f>
        <v/>
      </c>
      <c r="I400">
        <f>VLOOKUP(D400,Клиенты!$A$2:$D$1000,2,0)</f>
        <v/>
      </c>
      <c r="J400">
        <f>IF(AND(H400="Kaptur",I400="Окраинов Л.Г.",YEAR(B400)=2020),E400,0)</f>
        <v/>
      </c>
    </row>
    <row r="401">
      <c r="A401" s="6" t="n">
        <v>400</v>
      </c>
      <c r="B401" s="13" t="n">
        <v>43930</v>
      </c>
      <c r="C401" s="6" t="inlineStr">
        <is>
          <t>A36</t>
        </is>
      </c>
      <c r="D401" s="6" t="n">
        <v>15</v>
      </c>
      <c r="E401" s="15" t="n">
        <v>419</v>
      </c>
      <c r="F401" s="5" t="inlineStr">
        <is>
          <t>нет</t>
        </is>
      </c>
      <c r="H401">
        <f>VLOOKUP(C401,Автомобили!$A$2:$G$1000,3,0)</f>
        <v/>
      </c>
      <c r="I401">
        <f>VLOOKUP(D401,Клиенты!$A$2:$D$1000,2,0)</f>
        <v/>
      </c>
      <c r="J401">
        <f>IF(AND(H401="Kaptur",I401="Окраинов Л.Г.",YEAR(B401)=2020),E401,0)</f>
        <v/>
      </c>
    </row>
    <row r="402">
      <c r="A402" s="6" t="n">
        <v>401</v>
      </c>
      <c r="B402" s="13" t="n">
        <v>43931</v>
      </c>
      <c r="C402" s="6" t="inlineStr">
        <is>
          <t>A15</t>
        </is>
      </c>
      <c r="D402" s="6" t="n">
        <v>13</v>
      </c>
      <c r="E402" s="15" t="n">
        <v>215</v>
      </c>
      <c r="F402" s="5" t="inlineStr">
        <is>
          <t>нет</t>
        </is>
      </c>
      <c r="H402">
        <f>VLOOKUP(C402,Автомобили!$A$2:$G$1000,3,0)</f>
        <v/>
      </c>
      <c r="I402">
        <f>VLOOKUP(D402,Клиенты!$A$2:$D$1000,2,0)</f>
        <v/>
      </c>
      <c r="J402">
        <f>IF(AND(H402="Kaptur",I402="Окраинов Л.Г.",YEAR(B402)=2020),E402,0)</f>
        <v/>
      </c>
    </row>
    <row r="403">
      <c r="A403" s="6" t="n">
        <v>402</v>
      </c>
      <c r="B403" s="13" t="n">
        <v>43931</v>
      </c>
      <c r="C403" s="6" t="inlineStr">
        <is>
          <t>A56</t>
        </is>
      </c>
      <c r="D403" s="6" t="n">
        <v>13</v>
      </c>
      <c r="E403" s="15" t="n">
        <v>160</v>
      </c>
      <c r="F403" s="5" t="inlineStr">
        <is>
          <t>нет</t>
        </is>
      </c>
      <c r="H403">
        <f>VLOOKUP(C403,Автомобили!$A$2:$G$1000,3,0)</f>
        <v/>
      </c>
      <c r="I403">
        <f>VLOOKUP(D403,Клиенты!$A$2:$D$1000,2,0)</f>
        <v/>
      </c>
      <c r="J403">
        <f>IF(AND(H403="Kaptur",I403="Окраинов Л.Г.",YEAR(B403)=2020),E403,0)</f>
        <v/>
      </c>
    </row>
    <row r="404">
      <c r="A404" s="6" t="n">
        <v>403</v>
      </c>
      <c r="B404" s="13" t="n">
        <v>43931</v>
      </c>
      <c r="C404" s="6" t="inlineStr">
        <is>
          <t>A5</t>
        </is>
      </c>
      <c r="D404" s="6" t="n">
        <v>5</v>
      </c>
      <c r="E404" s="15" t="n">
        <v>214</v>
      </c>
      <c r="F404" s="5" t="inlineStr">
        <is>
          <t>нет</t>
        </is>
      </c>
      <c r="H404">
        <f>VLOOKUP(C404,Автомобили!$A$2:$G$1000,3,0)</f>
        <v/>
      </c>
      <c r="I404">
        <f>VLOOKUP(D404,Клиенты!$A$2:$D$1000,2,0)</f>
        <v/>
      </c>
      <c r="J404">
        <f>IF(AND(H404="Kaptur",I404="Окраинов Л.Г.",YEAR(B404)=2020),E404,0)</f>
        <v/>
      </c>
    </row>
    <row r="405">
      <c r="A405" s="6" t="n">
        <v>404</v>
      </c>
      <c r="B405" s="13" t="n">
        <v>43931</v>
      </c>
      <c r="C405" s="6" t="inlineStr">
        <is>
          <t>A25</t>
        </is>
      </c>
      <c r="D405" s="6" t="n">
        <v>15</v>
      </c>
      <c r="E405" s="15" t="n">
        <v>293</v>
      </c>
      <c r="F405" s="5" t="inlineStr">
        <is>
          <t>нет</t>
        </is>
      </c>
      <c r="H405">
        <f>VLOOKUP(C405,Автомобили!$A$2:$G$1000,3,0)</f>
        <v/>
      </c>
      <c r="I405">
        <f>VLOOKUP(D405,Клиенты!$A$2:$D$1000,2,0)</f>
        <v/>
      </c>
      <c r="J405">
        <f>IF(AND(H405="Kaptur",I405="Окраинов Л.Г.",YEAR(B405)=2020),E405,0)</f>
        <v/>
      </c>
    </row>
    <row r="406">
      <c r="A406" s="6" t="n">
        <v>405</v>
      </c>
      <c r="B406" s="13" t="n">
        <v>43932</v>
      </c>
      <c r="C406" s="6" t="inlineStr">
        <is>
          <t>A49</t>
        </is>
      </c>
      <c r="D406" s="6" t="n">
        <v>2</v>
      </c>
      <c r="E406" s="15" t="n">
        <v>99</v>
      </c>
      <c r="F406" s="5" t="inlineStr">
        <is>
          <t>нет</t>
        </is>
      </c>
      <c r="H406">
        <f>VLOOKUP(C406,Автомобили!$A$2:$G$1000,3,0)</f>
        <v/>
      </c>
      <c r="I406">
        <f>VLOOKUP(D406,Клиенты!$A$2:$D$1000,2,0)</f>
        <v/>
      </c>
      <c r="J406">
        <f>IF(AND(H406="Kaptur",I406="Окраинов Л.Г.",YEAR(B406)=2020),E406,0)</f>
        <v/>
      </c>
    </row>
    <row r="407">
      <c r="A407" s="6" t="n">
        <v>406</v>
      </c>
      <c r="B407" s="13" t="n">
        <v>43932</v>
      </c>
      <c r="C407" s="6" t="inlineStr">
        <is>
          <t>A32</t>
        </is>
      </c>
      <c r="D407" s="6" t="n">
        <v>12</v>
      </c>
      <c r="E407" s="15" t="n">
        <v>94</v>
      </c>
      <c r="F407" s="5" t="inlineStr">
        <is>
          <t>нет</t>
        </is>
      </c>
      <c r="H407">
        <f>VLOOKUP(C407,Автомобили!$A$2:$G$1000,3,0)</f>
        <v/>
      </c>
      <c r="I407">
        <f>VLOOKUP(D407,Клиенты!$A$2:$D$1000,2,0)</f>
        <v/>
      </c>
      <c r="J407">
        <f>IF(AND(H407="Kaptur",I407="Окраинов Л.Г.",YEAR(B407)=2020),E407,0)</f>
        <v/>
      </c>
    </row>
    <row r="408">
      <c r="A408" s="6" t="n">
        <v>407</v>
      </c>
      <c r="B408" s="13" t="n">
        <v>43932</v>
      </c>
      <c r="C408" s="6" t="inlineStr">
        <is>
          <t>A12</t>
        </is>
      </c>
      <c r="D408" s="6" t="n">
        <v>13</v>
      </c>
      <c r="E408" s="15" t="n">
        <v>360</v>
      </c>
      <c r="F408" s="5" t="inlineStr">
        <is>
          <t>нет</t>
        </is>
      </c>
      <c r="H408">
        <f>VLOOKUP(C408,Автомобили!$A$2:$G$1000,3,0)</f>
        <v/>
      </c>
      <c r="I408">
        <f>VLOOKUP(D408,Клиенты!$A$2:$D$1000,2,0)</f>
        <v/>
      </c>
      <c r="J408">
        <f>IF(AND(H408="Kaptur",I408="Окраинов Л.Г.",YEAR(B408)=2020),E408,0)</f>
        <v/>
      </c>
    </row>
    <row r="409">
      <c r="A409" s="6" t="n">
        <v>408</v>
      </c>
      <c r="B409" s="13" t="n">
        <v>43932</v>
      </c>
      <c r="C409" s="6" t="inlineStr">
        <is>
          <t>A15</t>
        </is>
      </c>
      <c r="D409" s="6" t="n">
        <v>4</v>
      </c>
      <c r="E409" s="15" t="n">
        <v>176</v>
      </c>
      <c r="F409" s="5" t="inlineStr">
        <is>
          <t>нет</t>
        </is>
      </c>
      <c r="H409">
        <f>VLOOKUP(C409,Автомобили!$A$2:$G$1000,3,0)</f>
        <v/>
      </c>
      <c r="I409">
        <f>VLOOKUP(D409,Клиенты!$A$2:$D$1000,2,0)</f>
        <v/>
      </c>
      <c r="J409">
        <f>IF(AND(H409="Kaptur",I409="Окраинов Л.Г.",YEAR(B409)=2020),E409,0)</f>
        <v/>
      </c>
    </row>
    <row r="410">
      <c r="A410" s="6" t="n">
        <v>409</v>
      </c>
      <c r="B410" s="13" t="n">
        <v>43933</v>
      </c>
      <c r="C410" s="6" t="inlineStr">
        <is>
          <t>A5</t>
        </is>
      </c>
      <c r="D410" s="6" t="n">
        <v>3</v>
      </c>
      <c r="E410" s="15" t="n">
        <v>225</v>
      </c>
      <c r="F410" s="5" t="inlineStr">
        <is>
          <t>нет</t>
        </is>
      </c>
      <c r="H410">
        <f>VLOOKUP(C410,Автомобили!$A$2:$G$1000,3,0)</f>
        <v/>
      </c>
      <c r="I410">
        <f>VLOOKUP(D410,Клиенты!$A$2:$D$1000,2,0)</f>
        <v/>
      </c>
      <c r="J410">
        <f>IF(AND(H410="Kaptur",I410="Окраинов Л.Г.",YEAR(B410)=2020),E410,0)</f>
        <v/>
      </c>
    </row>
    <row r="411">
      <c r="A411" s="6" t="n">
        <v>410</v>
      </c>
      <c r="B411" s="13" t="n">
        <v>43933</v>
      </c>
      <c r="C411" s="6" t="inlineStr">
        <is>
          <t>A28</t>
        </is>
      </c>
      <c r="D411" s="6" t="n">
        <v>6</v>
      </c>
      <c r="E411" s="15" t="n">
        <v>180</v>
      </c>
      <c r="F411" s="5" t="inlineStr">
        <is>
          <t>нет</t>
        </is>
      </c>
      <c r="H411">
        <f>VLOOKUP(C411,Автомобили!$A$2:$G$1000,3,0)</f>
        <v/>
      </c>
      <c r="I411">
        <f>VLOOKUP(D411,Клиенты!$A$2:$D$1000,2,0)</f>
        <v/>
      </c>
      <c r="J411">
        <f>IF(AND(H411="Kaptur",I411="Окраинов Л.Г.",YEAR(B411)=2020),E411,0)</f>
        <v/>
      </c>
    </row>
    <row r="412">
      <c r="A412" s="6" t="n">
        <v>411</v>
      </c>
      <c r="B412" s="13" t="n">
        <v>43933</v>
      </c>
      <c r="C412" s="6" t="inlineStr">
        <is>
          <t>A41</t>
        </is>
      </c>
      <c r="D412" s="6" t="n">
        <v>3</v>
      </c>
      <c r="E412" s="15" t="n">
        <v>274</v>
      </c>
      <c r="F412" s="5" t="inlineStr">
        <is>
          <t>нет</t>
        </is>
      </c>
      <c r="H412">
        <f>VLOOKUP(C412,Автомобили!$A$2:$G$1000,3,0)</f>
        <v/>
      </c>
      <c r="I412">
        <f>VLOOKUP(D412,Клиенты!$A$2:$D$1000,2,0)</f>
        <v/>
      </c>
      <c r="J412">
        <f>IF(AND(H412="Kaptur",I412="Окраинов Л.Г.",YEAR(B412)=2020),E412,0)</f>
        <v/>
      </c>
    </row>
    <row r="413">
      <c r="A413" s="6" t="n">
        <v>412</v>
      </c>
      <c r="B413" s="13" t="n">
        <v>43933</v>
      </c>
      <c r="C413" s="6" t="inlineStr">
        <is>
          <t>A57</t>
        </is>
      </c>
      <c r="D413" s="6" t="n">
        <v>2</v>
      </c>
      <c r="E413" s="15" t="n">
        <v>175</v>
      </c>
      <c r="F413" s="5" t="inlineStr">
        <is>
          <t>нет</t>
        </is>
      </c>
      <c r="H413">
        <f>VLOOKUP(C413,Автомобили!$A$2:$G$1000,3,0)</f>
        <v/>
      </c>
      <c r="I413">
        <f>VLOOKUP(D413,Клиенты!$A$2:$D$1000,2,0)</f>
        <v/>
      </c>
      <c r="J413">
        <f>IF(AND(H413="Kaptur",I413="Окраинов Л.Г.",YEAR(B413)=2020),E413,0)</f>
        <v/>
      </c>
    </row>
    <row r="414">
      <c r="A414" s="6" t="n">
        <v>413</v>
      </c>
      <c r="B414" s="13" t="n">
        <v>43934</v>
      </c>
      <c r="C414" s="6" t="inlineStr">
        <is>
          <t>A5</t>
        </is>
      </c>
      <c r="D414" s="6" t="n">
        <v>5</v>
      </c>
      <c r="E414" s="15" t="n">
        <v>401</v>
      </c>
      <c r="F414" s="5" t="inlineStr">
        <is>
          <t>нет</t>
        </is>
      </c>
      <c r="H414">
        <f>VLOOKUP(C414,Автомобили!$A$2:$G$1000,3,0)</f>
        <v/>
      </c>
      <c r="I414">
        <f>VLOOKUP(D414,Клиенты!$A$2:$D$1000,2,0)</f>
        <v/>
      </c>
      <c r="J414">
        <f>IF(AND(H414="Kaptur",I414="Окраинов Л.Г.",YEAR(B414)=2020),E414,0)</f>
        <v/>
      </c>
    </row>
    <row r="415">
      <c r="A415" s="6" t="n">
        <v>414</v>
      </c>
      <c r="B415" s="13" t="n">
        <v>43934</v>
      </c>
      <c r="C415" s="6" t="inlineStr">
        <is>
          <t>A39</t>
        </is>
      </c>
      <c r="D415" s="6" t="n">
        <v>1</v>
      </c>
      <c r="E415" s="15" t="n">
        <v>358</v>
      </c>
      <c r="F415" s="5" t="inlineStr">
        <is>
          <t>нет</t>
        </is>
      </c>
      <c r="H415">
        <f>VLOOKUP(C415,Автомобили!$A$2:$G$1000,3,0)</f>
        <v/>
      </c>
      <c r="I415">
        <f>VLOOKUP(D415,Клиенты!$A$2:$D$1000,2,0)</f>
        <v/>
      </c>
      <c r="J415">
        <f>IF(AND(H415="Kaptur",I415="Окраинов Л.Г.",YEAR(B415)=2020),E415,0)</f>
        <v/>
      </c>
    </row>
    <row r="416">
      <c r="A416" s="6" t="n">
        <v>415</v>
      </c>
      <c r="B416" s="13" t="n">
        <v>43934</v>
      </c>
      <c r="C416" s="6" t="inlineStr">
        <is>
          <t>A25</t>
        </is>
      </c>
      <c r="D416" s="6" t="n">
        <v>12</v>
      </c>
      <c r="E416" s="15" t="n">
        <v>206</v>
      </c>
      <c r="F416" s="5" t="inlineStr">
        <is>
          <t>нет</t>
        </is>
      </c>
      <c r="H416">
        <f>VLOOKUP(C416,Автомобили!$A$2:$G$1000,3,0)</f>
        <v/>
      </c>
      <c r="I416">
        <f>VLOOKUP(D416,Клиенты!$A$2:$D$1000,2,0)</f>
        <v/>
      </c>
      <c r="J416">
        <f>IF(AND(H416="Kaptur",I416="Окраинов Л.Г.",YEAR(B416)=2020),E416,0)</f>
        <v/>
      </c>
    </row>
    <row r="417">
      <c r="A417" s="6" t="n">
        <v>416</v>
      </c>
      <c r="B417" s="13" t="n">
        <v>43934</v>
      </c>
      <c r="C417" s="6" t="inlineStr">
        <is>
          <t>A41</t>
        </is>
      </c>
      <c r="D417" s="6" t="n">
        <v>5</v>
      </c>
      <c r="E417" s="15" t="n">
        <v>198</v>
      </c>
      <c r="F417" s="5" t="inlineStr">
        <is>
          <t>нет</t>
        </is>
      </c>
      <c r="H417">
        <f>VLOOKUP(C417,Автомобили!$A$2:$G$1000,3,0)</f>
        <v/>
      </c>
      <c r="I417">
        <f>VLOOKUP(D417,Клиенты!$A$2:$D$1000,2,0)</f>
        <v/>
      </c>
      <c r="J417">
        <f>IF(AND(H417="Kaptur",I417="Окраинов Л.Г.",YEAR(B417)=2020),E417,0)</f>
        <v/>
      </c>
    </row>
    <row r="418">
      <c r="A418" s="6" t="n">
        <v>417</v>
      </c>
      <c r="B418" s="13" t="n">
        <v>43935</v>
      </c>
      <c r="C418" s="6" t="inlineStr">
        <is>
          <t>A35</t>
        </is>
      </c>
      <c r="D418" s="6" t="n">
        <v>6</v>
      </c>
      <c r="E418" s="15" t="n">
        <v>428</v>
      </c>
      <c r="F418" s="5" t="inlineStr">
        <is>
          <t>нет</t>
        </is>
      </c>
      <c r="H418">
        <f>VLOOKUP(C418,Автомобили!$A$2:$G$1000,3,0)</f>
        <v/>
      </c>
      <c r="I418">
        <f>VLOOKUP(D418,Клиенты!$A$2:$D$1000,2,0)</f>
        <v/>
      </c>
      <c r="J418">
        <f>IF(AND(H418="Kaptur",I418="Окраинов Л.Г.",YEAR(B418)=2020),E418,0)</f>
        <v/>
      </c>
    </row>
    <row r="419">
      <c r="A419" s="6" t="n">
        <v>418</v>
      </c>
      <c r="B419" s="13" t="n">
        <v>43935</v>
      </c>
      <c r="C419" s="6" t="inlineStr">
        <is>
          <t>A27</t>
        </is>
      </c>
      <c r="D419" s="6" t="n">
        <v>8</v>
      </c>
      <c r="E419" s="15" t="n">
        <v>221</v>
      </c>
      <c r="F419" s="5" t="inlineStr">
        <is>
          <t>нет</t>
        </is>
      </c>
      <c r="H419">
        <f>VLOOKUP(C419,Автомобили!$A$2:$G$1000,3,0)</f>
        <v/>
      </c>
      <c r="I419">
        <f>VLOOKUP(D419,Клиенты!$A$2:$D$1000,2,0)</f>
        <v/>
      </c>
      <c r="J419">
        <f>IF(AND(H419="Kaptur",I419="Окраинов Л.Г.",YEAR(B419)=2020),E419,0)</f>
        <v/>
      </c>
    </row>
    <row r="420">
      <c r="A420" s="6" t="n">
        <v>419</v>
      </c>
      <c r="B420" s="13" t="n">
        <v>43935</v>
      </c>
      <c r="C420" s="6" t="inlineStr">
        <is>
          <t>A1</t>
        </is>
      </c>
      <c r="D420" s="6" t="n">
        <v>11</v>
      </c>
      <c r="E420" s="15" t="n">
        <v>179</v>
      </c>
      <c r="F420" s="5" t="inlineStr">
        <is>
          <t>нет</t>
        </is>
      </c>
      <c r="H420">
        <f>VLOOKUP(C420,Автомобили!$A$2:$G$1000,3,0)</f>
        <v/>
      </c>
      <c r="I420">
        <f>VLOOKUP(D420,Клиенты!$A$2:$D$1000,2,0)</f>
        <v/>
      </c>
      <c r="J420">
        <f>IF(AND(H420="Kaptur",I420="Окраинов Л.Г.",YEAR(B420)=2020),E420,0)</f>
        <v/>
      </c>
    </row>
    <row r="421">
      <c r="A421" s="6" t="n">
        <v>420</v>
      </c>
      <c r="B421" s="13" t="n">
        <v>43935</v>
      </c>
      <c r="C421" s="6" t="inlineStr">
        <is>
          <t>A30</t>
        </is>
      </c>
      <c r="D421" s="6" t="n">
        <v>14</v>
      </c>
      <c r="E421" s="15" t="n">
        <v>221</v>
      </c>
      <c r="F421" s="5" t="inlineStr">
        <is>
          <t>нет</t>
        </is>
      </c>
      <c r="H421">
        <f>VLOOKUP(C421,Автомобили!$A$2:$G$1000,3,0)</f>
        <v/>
      </c>
      <c r="I421">
        <f>VLOOKUP(D421,Клиенты!$A$2:$D$1000,2,0)</f>
        <v/>
      </c>
      <c r="J421">
        <f>IF(AND(H421="Kaptur",I421="Окраинов Л.Г.",YEAR(B421)=2020),E421,0)</f>
        <v/>
      </c>
    </row>
    <row r="422">
      <c r="A422" s="6" t="n">
        <v>421</v>
      </c>
      <c r="B422" s="13" t="n">
        <v>43936</v>
      </c>
      <c r="C422" s="6" t="inlineStr">
        <is>
          <t>A53</t>
        </is>
      </c>
      <c r="D422" s="6" t="n">
        <v>12</v>
      </c>
      <c r="E422" s="15" t="n">
        <v>370</v>
      </c>
      <c r="F422" s="5" t="inlineStr">
        <is>
          <t>нет</t>
        </is>
      </c>
      <c r="H422">
        <f>VLOOKUP(C422,Автомобили!$A$2:$G$1000,3,0)</f>
        <v/>
      </c>
      <c r="I422">
        <f>VLOOKUP(D422,Клиенты!$A$2:$D$1000,2,0)</f>
        <v/>
      </c>
      <c r="J422">
        <f>IF(AND(H422="Kaptur",I422="Окраинов Л.Г.",YEAR(B422)=2020),E422,0)</f>
        <v/>
      </c>
    </row>
    <row r="423">
      <c r="A423" s="6" t="n">
        <v>422</v>
      </c>
      <c r="B423" s="13" t="n">
        <v>43936</v>
      </c>
      <c r="C423" s="6" t="inlineStr">
        <is>
          <t>A40</t>
        </is>
      </c>
      <c r="D423" s="6" t="n">
        <v>3</v>
      </c>
      <c r="E423" s="15" t="n">
        <v>417</v>
      </c>
      <c r="F423" s="5" t="inlineStr">
        <is>
          <t>нет</t>
        </is>
      </c>
      <c r="H423">
        <f>VLOOKUP(C423,Автомобили!$A$2:$G$1000,3,0)</f>
        <v/>
      </c>
      <c r="I423">
        <f>VLOOKUP(D423,Клиенты!$A$2:$D$1000,2,0)</f>
        <v/>
      </c>
      <c r="J423">
        <f>IF(AND(H423="Kaptur",I423="Окраинов Л.Г.",YEAR(B423)=2020),E423,0)</f>
        <v/>
      </c>
    </row>
    <row r="424">
      <c r="A424" s="6" t="n">
        <v>423</v>
      </c>
      <c r="B424" s="13" t="n">
        <v>43936</v>
      </c>
      <c r="C424" s="6" t="inlineStr">
        <is>
          <t>A25</t>
        </is>
      </c>
      <c r="D424" s="6" t="n">
        <v>4</v>
      </c>
      <c r="E424" s="15" t="n">
        <v>227</v>
      </c>
      <c r="F424" s="5" t="inlineStr">
        <is>
          <t>нет</t>
        </is>
      </c>
      <c r="H424">
        <f>VLOOKUP(C424,Автомобили!$A$2:$G$1000,3,0)</f>
        <v/>
      </c>
      <c r="I424">
        <f>VLOOKUP(D424,Клиенты!$A$2:$D$1000,2,0)</f>
        <v/>
      </c>
      <c r="J424">
        <f>IF(AND(H424="Kaptur",I424="Окраинов Л.Г.",YEAR(B424)=2020),E424,0)</f>
        <v/>
      </c>
    </row>
    <row r="425">
      <c r="A425" s="6" t="n">
        <v>424</v>
      </c>
      <c r="B425" s="13" t="n">
        <v>43936</v>
      </c>
      <c r="C425" s="6" t="inlineStr">
        <is>
          <t>A35</t>
        </is>
      </c>
      <c r="D425" s="6" t="n">
        <v>3</v>
      </c>
      <c r="E425" s="15" t="n">
        <v>71</v>
      </c>
      <c r="F425" s="5" t="inlineStr">
        <is>
          <t>нет</t>
        </is>
      </c>
      <c r="H425">
        <f>VLOOKUP(C425,Автомобили!$A$2:$G$1000,3,0)</f>
        <v/>
      </c>
      <c r="I425">
        <f>VLOOKUP(D425,Клиенты!$A$2:$D$1000,2,0)</f>
        <v/>
      </c>
      <c r="J425">
        <f>IF(AND(H425="Kaptur",I425="Окраинов Л.Г.",YEAR(B425)=2020),E425,0)</f>
        <v/>
      </c>
    </row>
    <row r="426">
      <c r="A426" s="6" t="n">
        <v>425</v>
      </c>
      <c r="B426" s="13" t="n">
        <v>43937</v>
      </c>
      <c r="C426" s="6" t="inlineStr">
        <is>
          <t>A50</t>
        </is>
      </c>
      <c r="D426" s="6" t="n">
        <v>14</v>
      </c>
      <c r="E426" s="15" t="n">
        <v>260</v>
      </c>
      <c r="F426" s="5" t="inlineStr">
        <is>
          <t>нет</t>
        </is>
      </c>
      <c r="H426">
        <f>VLOOKUP(C426,Автомобили!$A$2:$G$1000,3,0)</f>
        <v/>
      </c>
      <c r="I426">
        <f>VLOOKUP(D426,Клиенты!$A$2:$D$1000,2,0)</f>
        <v/>
      </c>
      <c r="J426">
        <f>IF(AND(H426="Kaptur",I426="Окраинов Л.Г.",YEAR(B426)=2020),E426,0)</f>
        <v/>
      </c>
    </row>
    <row r="427">
      <c r="A427" s="6" t="n">
        <v>426</v>
      </c>
      <c r="B427" s="13" t="n">
        <v>43937</v>
      </c>
      <c r="C427" s="6" t="inlineStr">
        <is>
          <t>A59</t>
        </is>
      </c>
      <c r="D427" s="6" t="n">
        <v>5</v>
      </c>
      <c r="E427" s="15" t="n">
        <v>214</v>
      </c>
      <c r="F427" s="5" t="inlineStr">
        <is>
          <t>нет</t>
        </is>
      </c>
      <c r="H427">
        <f>VLOOKUP(C427,Автомобили!$A$2:$G$1000,3,0)</f>
        <v/>
      </c>
      <c r="I427">
        <f>VLOOKUP(D427,Клиенты!$A$2:$D$1000,2,0)</f>
        <v/>
      </c>
      <c r="J427">
        <f>IF(AND(H427="Kaptur",I427="Окраинов Л.Г.",YEAR(B427)=2020),E427,0)</f>
        <v/>
      </c>
    </row>
    <row r="428">
      <c r="A428" s="6" t="n">
        <v>427</v>
      </c>
      <c r="B428" s="13" t="n">
        <v>43937</v>
      </c>
      <c r="C428" s="6" t="inlineStr">
        <is>
          <t>A60</t>
        </is>
      </c>
      <c r="D428" s="6" t="n">
        <v>2</v>
      </c>
      <c r="E428" s="15" t="n">
        <v>108</v>
      </c>
      <c r="F428" s="5" t="inlineStr">
        <is>
          <t>нет</t>
        </is>
      </c>
      <c r="H428">
        <f>VLOOKUP(C428,Автомобили!$A$2:$G$1000,3,0)</f>
        <v/>
      </c>
      <c r="I428">
        <f>VLOOKUP(D428,Клиенты!$A$2:$D$1000,2,0)</f>
        <v/>
      </c>
      <c r="J428">
        <f>IF(AND(H428="Kaptur",I428="Окраинов Л.Г.",YEAR(B428)=2020),E428,0)</f>
        <v/>
      </c>
    </row>
    <row r="429">
      <c r="A429" s="6" t="n">
        <v>428</v>
      </c>
      <c r="B429" s="13" t="n">
        <v>43937</v>
      </c>
      <c r="C429" s="6" t="inlineStr">
        <is>
          <t>A8</t>
        </is>
      </c>
      <c r="D429" s="6" t="n">
        <v>6</v>
      </c>
      <c r="E429" s="15" t="n">
        <v>347</v>
      </c>
      <c r="F429" s="5" t="inlineStr">
        <is>
          <t>нет</t>
        </is>
      </c>
      <c r="H429">
        <f>VLOOKUP(C429,Автомобили!$A$2:$G$1000,3,0)</f>
        <v/>
      </c>
      <c r="I429">
        <f>VLOOKUP(D429,Клиенты!$A$2:$D$1000,2,0)</f>
        <v/>
      </c>
      <c r="J429">
        <f>IF(AND(H429="Kaptur",I429="Окраинов Л.Г.",YEAR(B429)=2020),E429,0)</f>
        <v/>
      </c>
    </row>
    <row r="430">
      <c r="A430" s="6" t="n">
        <v>429</v>
      </c>
      <c r="B430" s="13" t="n">
        <v>43938</v>
      </c>
      <c r="C430" s="6" t="inlineStr">
        <is>
          <t>A22</t>
        </is>
      </c>
      <c r="D430" s="6" t="n">
        <v>3</v>
      </c>
      <c r="E430" s="15" t="n">
        <v>450</v>
      </c>
      <c r="F430" s="5" t="inlineStr">
        <is>
          <t>нет</t>
        </is>
      </c>
      <c r="H430">
        <f>VLOOKUP(C430,Автомобили!$A$2:$G$1000,3,0)</f>
        <v/>
      </c>
      <c r="I430">
        <f>VLOOKUP(D430,Клиенты!$A$2:$D$1000,2,0)</f>
        <v/>
      </c>
      <c r="J430">
        <f>IF(AND(H430="Kaptur",I430="Окраинов Л.Г.",YEAR(B430)=2020),E430,0)</f>
        <v/>
      </c>
    </row>
    <row r="431">
      <c r="A431" s="6" t="n">
        <v>430</v>
      </c>
      <c r="B431" s="13" t="n">
        <v>43938</v>
      </c>
      <c r="C431" s="6" t="inlineStr">
        <is>
          <t>A38</t>
        </is>
      </c>
      <c r="D431" s="6" t="n">
        <v>9</v>
      </c>
      <c r="E431" s="15" t="n">
        <v>176</v>
      </c>
      <c r="F431" s="5" t="inlineStr">
        <is>
          <t>нет</t>
        </is>
      </c>
      <c r="H431">
        <f>VLOOKUP(C431,Автомобили!$A$2:$G$1000,3,0)</f>
        <v/>
      </c>
      <c r="I431">
        <f>VLOOKUP(D431,Клиенты!$A$2:$D$1000,2,0)</f>
        <v/>
      </c>
      <c r="J431">
        <f>IF(AND(H431="Kaptur",I431="Окраинов Л.Г.",YEAR(B431)=2020),E431,0)</f>
        <v/>
      </c>
    </row>
    <row r="432">
      <c r="A432" s="6" t="n">
        <v>431</v>
      </c>
      <c r="B432" s="13" t="n">
        <v>43938</v>
      </c>
      <c r="C432" s="6" t="inlineStr">
        <is>
          <t>A7</t>
        </is>
      </c>
      <c r="D432" s="6" t="n">
        <v>2</v>
      </c>
      <c r="E432" s="15" t="n">
        <v>309</v>
      </c>
      <c r="F432" s="5" t="inlineStr">
        <is>
          <t>нет</t>
        </is>
      </c>
      <c r="H432">
        <f>VLOOKUP(C432,Автомобили!$A$2:$G$1000,3,0)</f>
        <v/>
      </c>
      <c r="I432">
        <f>VLOOKUP(D432,Клиенты!$A$2:$D$1000,2,0)</f>
        <v/>
      </c>
      <c r="J432">
        <f>IF(AND(H432="Kaptur",I432="Окраинов Л.Г.",YEAR(B432)=2020),E432,0)</f>
        <v/>
      </c>
    </row>
    <row r="433">
      <c r="A433" s="6" t="n">
        <v>432</v>
      </c>
      <c r="B433" s="13" t="n">
        <v>43938</v>
      </c>
      <c r="C433" s="6" t="inlineStr">
        <is>
          <t>A13</t>
        </is>
      </c>
      <c r="D433" s="6" t="n">
        <v>3</v>
      </c>
      <c r="E433" s="15" t="n">
        <v>340</v>
      </c>
      <c r="F433" s="5" t="inlineStr">
        <is>
          <t>нет</t>
        </is>
      </c>
      <c r="H433">
        <f>VLOOKUP(C433,Автомобили!$A$2:$G$1000,3,0)</f>
        <v/>
      </c>
      <c r="I433">
        <f>VLOOKUP(D433,Клиенты!$A$2:$D$1000,2,0)</f>
        <v/>
      </c>
      <c r="J433">
        <f>IF(AND(H433="Kaptur",I433="Окраинов Л.Г.",YEAR(B433)=2020),E433,0)</f>
        <v/>
      </c>
    </row>
    <row r="434">
      <c r="A434" s="6" t="n">
        <v>433</v>
      </c>
      <c r="B434" s="13" t="n">
        <v>43939</v>
      </c>
      <c r="C434" s="6" t="inlineStr">
        <is>
          <t>A34</t>
        </is>
      </c>
      <c r="D434" s="6" t="n">
        <v>11</v>
      </c>
      <c r="E434" s="15" t="n">
        <v>450</v>
      </c>
      <c r="F434" s="5" t="inlineStr">
        <is>
          <t>нет</t>
        </is>
      </c>
      <c r="H434">
        <f>VLOOKUP(C434,Автомобили!$A$2:$G$1000,3,0)</f>
        <v/>
      </c>
      <c r="I434">
        <f>VLOOKUP(D434,Клиенты!$A$2:$D$1000,2,0)</f>
        <v/>
      </c>
      <c r="J434">
        <f>IF(AND(H434="Kaptur",I434="Окраинов Л.Г.",YEAR(B434)=2020),E434,0)</f>
        <v/>
      </c>
    </row>
    <row r="435">
      <c r="A435" s="6" t="n">
        <v>434</v>
      </c>
      <c r="B435" s="13" t="n">
        <v>43939</v>
      </c>
      <c r="C435" s="6" t="inlineStr">
        <is>
          <t>A9</t>
        </is>
      </c>
      <c r="D435" s="6" t="n">
        <v>8</v>
      </c>
      <c r="E435" s="15" t="n">
        <v>171</v>
      </c>
      <c r="F435" s="5" t="inlineStr">
        <is>
          <t>нет</t>
        </is>
      </c>
      <c r="H435">
        <f>VLOOKUP(C435,Автомобили!$A$2:$G$1000,3,0)</f>
        <v/>
      </c>
      <c r="I435">
        <f>VLOOKUP(D435,Клиенты!$A$2:$D$1000,2,0)</f>
        <v/>
      </c>
      <c r="J435">
        <f>IF(AND(H435="Kaptur",I435="Окраинов Л.Г.",YEAR(B435)=2020),E435,0)</f>
        <v/>
      </c>
    </row>
    <row r="436">
      <c r="A436" s="6" t="n">
        <v>435</v>
      </c>
      <c r="B436" s="13" t="n">
        <v>43939</v>
      </c>
      <c r="C436" s="6" t="inlineStr">
        <is>
          <t>A62</t>
        </is>
      </c>
      <c r="D436" s="6" t="n">
        <v>9</v>
      </c>
      <c r="E436" s="15" t="n">
        <v>102</v>
      </c>
      <c r="F436" s="5" t="inlineStr">
        <is>
          <t>нет</t>
        </is>
      </c>
      <c r="H436">
        <f>VLOOKUP(C436,Автомобили!$A$2:$G$1000,3,0)</f>
        <v/>
      </c>
      <c r="I436">
        <f>VLOOKUP(D436,Клиенты!$A$2:$D$1000,2,0)</f>
        <v/>
      </c>
      <c r="J436">
        <f>IF(AND(H436="Kaptur",I436="Окраинов Л.Г.",YEAR(B436)=2020),E436,0)</f>
        <v/>
      </c>
    </row>
    <row r="437">
      <c r="A437" s="6" t="n">
        <v>436</v>
      </c>
      <c r="B437" s="13" t="n">
        <v>43939</v>
      </c>
      <c r="C437" s="6" t="inlineStr">
        <is>
          <t>A53</t>
        </is>
      </c>
      <c r="D437" s="6" t="n">
        <v>4</v>
      </c>
      <c r="E437" s="15" t="n">
        <v>102</v>
      </c>
      <c r="F437" s="5" t="inlineStr">
        <is>
          <t>нет</t>
        </is>
      </c>
      <c r="H437">
        <f>VLOOKUP(C437,Автомобили!$A$2:$G$1000,3,0)</f>
        <v/>
      </c>
      <c r="I437">
        <f>VLOOKUP(D437,Клиенты!$A$2:$D$1000,2,0)</f>
        <v/>
      </c>
      <c r="J437">
        <f>IF(AND(H437="Kaptur",I437="Окраинов Л.Г.",YEAR(B437)=2020),E437,0)</f>
        <v/>
      </c>
    </row>
    <row r="438">
      <c r="A438" s="6" t="n">
        <v>437</v>
      </c>
      <c r="B438" s="13" t="n">
        <v>43940</v>
      </c>
      <c r="C438" s="6" t="inlineStr">
        <is>
          <t>A8</t>
        </is>
      </c>
      <c r="D438" s="6" t="n">
        <v>6</v>
      </c>
      <c r="E438" s="15" t="n">
        <v>129</v>
      </c>
      <c r="F438" s="5" t="inlineStr">
        <is>
          <t>нет</t>
        </is>
      </c>
      <c r="H438">
        <f>VLOOKUP(C438,Автомобили!$A$2:$G$1000,3,0)</f>
        <v/>
      </c>
      <c r="I438">
        <f>VLOOKUP(D438,Клиенты!$A$2:$D$1000,2,0)</f>
        <v/>
      </c>
      <c r="J438">
        <f>IF(AND(H438="Kaptur",I438="Окраинов Л.Г.",YEAR(B438)=2020),E438,0)</f>
        <v/>
      </c>
    </row>
    <row r="439">
      <c r="A439" s="6" t="n">
        <v>438</v>
      </c>
      <c r="B439" s="13" t="n">
        <v>43940</v>
      </c>
      <c r="C439" s="6" t="inlineStr">
        <is>
          <t>A9</t>
        </is>
      </c>
      <c r="D439" s="6" t="n">
        <v>13</v>
      </c>
      <c r="E439" s="15" t="n">
        <v>157</v>
      </c>
      <c r="F439" s="5" t="inlineStr">
        <is>
          <t>нет</t>
        </is>
      </c>
      <c r="H439">
        <f>VLOOKUP(C439,Автомобили!$A$2:$G$1000,3,0)</f>
        <v/>
      </c>
      <c r="I439">
        <f>VLOOKUP(D439,Клиенты!$A$2:$D$1000,2,0)</f>
        <v/>
      </c>
      <c r="J439">
        <f>IF(AND(H439="Kaptur",I439="Окраинов Л.Г.",YEAR(B439)=2020),E439,0)</f>
        <v/>
      </c>
    </row>
    <row r="440">
      <c r="A440" s="6" t="n">
        <v>439</v>
      </c>
      <c r="B440" s="13" t="n">
        <v>43940</v>
      </c>
      <c r="C440" s="6" t="inlineStr">
        <is>
          <t>A53</t>
        </is>
      </c>
      <c r="D440" s="6" t="n">
        <v>13</v>
      </c>
      <c r="E440" s="15" t="n">
        <v>247</v>
      </c>
      <c r="F440" s="5" t="inlineStr">
        <is>
          <t>нет</t>
        </is>
      </c>
      <c r="H440">
        <f>VLOOKUP(C440,Автомобили!$A$2:$G$1000,3,0)</f>
        <v/>
      </c>
      <c r="I440">
        <f>VLOOKUP(D440,Клиенты!$A$2:$D$1000,2,0)</f>
        <v/>
      </c>
      <c r="J440">
        <f>IF(AND(H440="Kaptur",I440="Окраинов Л.Г.",YEAR(B440)=2020),E440,0)</f>
        <v/>
      </c>
    </row>
    <row r="441">
      <c r="A441" s="6" t="n">
        <v>440</v>
      </c>
      <c r="B441" s="13" t="n">
        <v>43940</v>
      </c>
      <c r="C441" s="6" t="inlineStr">
        <is>
          <t>A37</t>
        </is>
      </c>
      <c r="D441" s="6" t="n">
        <v>3</v>
      </c>
      <c r="E441" s="15" t="n">
        <v>109</v>
      </c>
      <c r="F441" s="5" t="inlineStr">
        <is>
          <t>нет</t>
        </is>
      </c>
      <c r="H441">
        <f>VLOOKUP(C441,Автомобили!$A$2:$G$1000,3,0)</f>
        <v/>
      </c>
      <c r="I441">
        <f>VLOOKUP(D441,Клиенты!$A$2:$D$1000,2,0)</f>
        <v/>
      </c>
      <c r="J441">
        <f>IF(AND(H441="Kaptur",I441="Окраинов Л.Г.",YEAR(B441)=2020),E441,0)</f>
        <v/>
      </c>
    </row>
    <row r="442">
      <c r="A442" s="6" t="n">
        <v>441</v>
      </c>
      <c r="B442" s="13" t="n">
        <v>43941</v>
      </c>
      <c r="C442" s="6" t="inlineStr">
        <is>
          <t>A21</t>
        </is>
      </c>
      <c r="D442" s="6" t="n">
        <v>7</v>
      </c>
      <c r="E442" s="15" t="n">
        <v>319</v>
      </c>
      <c r="F442" s="5" t="inlineStr">
        <is>
          <t>нет</t>
        </is>
      </c>
      <c r="H442">
        <f>VLOOKUP(C442,Автомобили!$A$2:$G$1000,3,0)</f>
        <v/>
      </c>
      <c r="I442">
        <f>VLOOKUP(D442,Клиенты!$A$2:$D$1000,2,0)</f>
        <v/>
      </c>
      <c r="J442">
        <f>IF(AND(H442="Kaptur",I442="Окраинов Л.Г.",YEAR(B442)=2020),E442,0)</f>
        <v/>
      </c>
    </row>
    <row r="443">
      <c r="A443" s="6" t="n">
        <v>442</v>
      </c>
      <c r="B443" s="13" t="n">
        <v>43941</v>
      </c>
      <c r="C443" s="6" t="inlineStr">
        <is>
          <t>A44</t>
        </is>
      </c>
      <c r="D443" s="6" t="n">
        <v>3</v>
      </c>
      <c r="E443" s="15" t="n">
        <v>271</v>
      </c>
      <c r="F443" s="5" t="inlineStr">
        <is>
          <t>нет</t>
        </is>
      </c>
      <c r="H443">
        <f>VLOOKUP(C443,Автомобили!$A$2:$G$1000,3,0)</f>
        <v/>
      </c>
      <c r="I443">
        <f>VLOOKUP(D443,Клиенты!$A$2:$D$1000,2,0)</f>
        <v/>
      </c>
      <c r="J443">
        <f>IF(AND(H443="Kaptur",I443="Окраинов Л.Г.",YEAR(B443)=2020),E443,0)</f>
        <v/>
      </c>
    </row>
    <row r="444">
      <c r="A444" s="6" t="n">
        <v>443</v>
      </c>
      <c r="B444" s="13" t="n">
        <v>43941</v>
      </c>
      <c r="C444" s="6" t="inlineStr">
        <is>
          <t>A59</t>
        </is>
      </c>
      <c r="D444" s="6" t="n">
        <v>7</v>
      </c>
      <c r="E444" s="15" t="n">
        <v>123</v>
      </c>
      <c r="F444" s="5" t="inlineStr">
        <is>
          <t>нет</t>
        </is>
      </c>
      <c r="H444">
        <f>VLOOKUP(C444,Автомобили!$A$2:$G$1000,3,0)</f>
        <v/>
      </c>
      <c r="I444">
        <f>VLOOKUP(D444,Клиенты!$A$2:$D$1000,2,0)</f>
        <v/>
      </c>
      <c r="J444">
        <f>IF(AND(H444="Kaptur",I444="Окраинов Л.Г.",YEAR(B444)=2020),E444,0)</f>
        <v/>
      </c>
    </row>
    <row r="445">
      <c r="A445" s="6" t="n">
        <v>444</v>
      </c>
      <c r="B445" s="13" t="n">
        <v>43941</v>
      </c>
      <c r="C445" s="6" t="inlineStr">
        <is>
          <t>A62</t>
        </is>
      </c>
      <c r="D445" s="6" t="n">
        <v>10</v>
      </c>
      <c r="E445" s="15" t="n">
        <v>144</v>
      </c>
      <c r="F445" s="5" t="inlineStr">
        <is>
          <t>нет</t>
        </is>
      </c>
      <c r="H445">
        <f>VLOOKUP(C445,Автомобили!$A$2:$G$1000,3,0)</f>
        <v/>
      </c>
      <c r="I445">
        <f>VLOOKUP(D445,Клиенты!$A$2:$D$1000,2,0)</f>
        <v/>
      </c>
      <c r="J445">
        <f>IF(AND(H445="Kaptur",I445="Окраинов Л.Г.",YEAR(B445)=2020),E445,0)</f>
        <v/>
      </c>
    </row>
    <row r="446">
      <c r="A446" s="6" t="n">
        <v>445</v>
      </c>
      <c r="B446" s="13" t="n">
        <v>43942</v>
      </c>
      <c r="C446" s="6" t="inlineStr">
        <is>
          <t>A28</t>
        </is>
      </c>
      <c r="D446" s="6" t="n">
        <v>8</v>
      </c>
      <c r="E446" s="15" t="n">
        <v>74</v>
      </c>
      <c r="F446" s="5" t="inlineStr">
        <is>
          <t>нет</t>
        </is>
      </c>
      <c r="H446">
        <f>VLOOKUP(C446,Автомобили!$A$2:$G$1000,3,0)</f>
        <v/>
      </c>
      <c r="I446">
        <f>VLOOKUP(D446,Клиенты!$A$2:$D$1000,2,0)</f>
        <v/>
      </c>
      <c r="J446">
        <f>IF(AND(H446="Kaptur",I446="Окраинов Л.Г.",YEAR(B446)=2020),E446,0)</f>
        <v/>
      </c>
    </row>
    <row r="447">
      <c r="A447" s="6" t="n">
        <v>446</v>
      </c>
      <c r="B447" s="13" t="n">
        <v>43942</v>
      </c>
      <c r="C447" s="6" t="inlineStr">
        <is>
          <t>A27</t>
        </is>
      </c>
      <c r="D447" s="6" t="n">
        <v>11</v>
      </c>
      <c r="E447" s="15" t="n">
        <v>445</v>
      </c>
      <c r="F447" s="5" t="inlineStr">
        <is>
          <t>нет</t>
        </is>
      </c>
      <c r="H447">
        <f>VLOOKUP(C447,Автомобили!$A$2:$G$1000,3,0)</f>
        <v/>
      </c>
      <c r="I447">
        <f>VLOOKUP(D447,Клиенты!$A$2:$D$1000,2,0)</f>
        <v/>
      </c>
      <c r="J447">
        <f>IF(AND(H447="Kaptur",I447="Окраинов Л.Г.",YEAR(B447)=2020),E447,0)</f>
        <v/>
      </c>
    </row>
    <row r="448">
      <c r="A448" s="6" t="n">
        <v>447</v>
      </c>
      <c r="B448" s="13" t="n">
        <v>43942</v>
      </c>
      <c r="C448" s="6" t="inlineStr">
        <is>
          <t>A39</t>
        </is>
      </c>
      <c r="D448" s="6" t="n">
        <v>5</v>
      </c>
      <c r="E448" s="15" t="n">
        <v>279</v>
      </c>
      <c r="F448" s="5" t="inlineStr">
        <is>
          <t>нет</t>
        </is>
      </c>
      <c r="H448">
        <f>VLOOKUP(C448,Автомобили!$A$2:$G$1000,3,0)</f>
        <v/>
      </c>
      <c r="I448">
        <f>VLOOKUP(D448,Клиенты!$A$2:$D$1000,2,0)</f>
        <v/>
      </c>
      <c r="J448">
        <f>IF(AND(H448="Kaptur",I448="Окраинов Л.Г.",YEAR(B448)=2020),E448,0)</f>
        <v/>
      </c>
    </row>
    <row r="449">
      <c r="A449" s="6" t="n">
        <v>448</v>
      </c>
      <c r="B449" s="13" t="n">
        <v>43942</v>
      </c>
      <c r="C449" s="6" t="inlineStr">
        <is>
          <t>A10</t>
        </is>
      </c>
      <c r="D449" s="6" t="n">
        <v>15</v>
      </c>
      <c r="E449" s="15" t="n">
        <v>178</v>
      </c>
      <c r="F449" s="5" t="inlineStr">
        <is>
          <t>нет</t>
        </is>
      </c>
      <c r="H449">
        <f>VLOOKUP(C449,Автомобили!$A$2:$G$1000,3,0)</f>
        <v/>
      </c>
      <c r="I449">
        <f>VLOOKUP(D449,Клиенты!$A$2:$D$1000,2,0)</f>
        <v/>
      </c>
      <c r="J449">
        <f>IF(AND(H449="Kaptur",I449="Окраинов Л.Г.",YEAR(B449)=2020),E449,0)</f>
        <v/>
      </c>
    </row>
    <row r="450">
      <c r="A450" s="6" t="n">
        <v>449</v>
      </c>
      <c r="B450" s="13" t="n">
        <v>43943</v>
      </c>
      <c r="C450" s="6" t="inlineStr">
        <is>
          <t>A37</t>
        </is>
      </c>
      <c r="D450" s="6" t="n">
        <v>6</v>
      </c>
      <c r="E450" s="15" t="n">
        <v>169</v>
      </c>
      <c r="F450" s="5" t="inlineStr">
        <is>
          <t>нет</t>
        </is>
      </c>
      <c r="H450">
        <f>VLOOKUP(C450,Автомобили!$A$2:$G$1000,3,0)</f>
        <v/>
      </c>
      <c r="I450">
        <f>VLOOKUP(D450,Клиенты!$A$2:$D$1000,2,0)</f>
        <v/>
      </c>
      <c r="J450">
        <f>IF(AND(H450="Kaptur",I450="Окраинов Л.Г.",YEAR(B450)=2020),E450,0)</f>
        <v/>
      </c>
    </row>
    <row r="451">
      <c r="A451" s="6" t="n">
        <v>450</v>
      </c>
      <c r="B451" s="13" t="n">
        <v>43943</v>
      </c>
      <c r="C451" s="6" t="inlineStr">
        <is>
          <t>A53</t>
        </is>
      </c>
      <c r="D451" s="6" t="n">
        <v>7</v>
      </c>
      <c r="E451" s="15" t="n">
        <v>401</v>
      </c>
      <c r="F451" s="5" t="inlineStr">
        <is>
          <t>нет</t>
        </is>
      </c>
      <c r="H451">
        <f>VLOOKUP(C451,Автомобили!$A$2:$G$1000,3,0)</f>
        <v/>
      </c>
      <c r="I451">
        <f>VLOOKUP(D451,Клиенты!$A$2:$D$1000,2,0)</f>
        <v/>
      </c>
      <c r="J451">
        <f>IF(AND(H451="Kaptur",I451="Окраинов Л.Г.",YEAR(B451)=2020),E451,0)</f>
        <v/>
      </c>
    </row>
    <row r="452">
      <c r="A452" s="6" t="n">
        <v>451</v>
      </c>
      <c r="B452" s="13" t="n">
        <v>43943</v>
      </c>
      <c r="C452" s="6" t="inlineStr">
        <is>
          <t>A31</t>
        </is>
      </c>
      <c r="D452" s="6" t="n">
        <v>11</v>
      </c>
      <c r="E452" s="15" t="n">
        <v>180</v>
      </c>
      <c r="F452" s="5" t="inlineStr">
        <is>
          <t>нет</t>
        </is>
      </c>
      <c r="H452">
        <f>VLOOKUP(C452,Автомобили!$A$2:$G$1000,3,0)</f>
        <v/>
      </c>
      <c r="I452">
        <f>VLOOKUP(D452,Клиенты!$A$2:$D$1000,2,0)</f>
        <v/>
      </c>
      <c r="J452">
        <f>IF(AND(H452="Kaptur",I452="Окраинов Л.Г.",YEAR(B452)=2020),E452,0)</f>
        <v/>
      </c>
    </row>
    <row r="453">
      <c r="A453" s="6" t="n">
        <v>452</v>
      </c>
      <c r="B453" s="13" t="n">
        <v>43943</v>
      </c>
      <c r="C453" s="6" t="inlineStr">
        <is>
          <t>A41</t>
        </is>
      </c>
      <c r="D453" s="6" t="n">
        <v>11</v>
      </c>
      <c r="E453" s="15" t="n">
        <v>155</v>
      </c>
      <c r="F453" s="5" t="inlineStr">
        <is>
          <t>нет</t>
        </is>
      </c>
      <c r="H453">
        <f>VLOOKUP(C453,Автомобили!$A$2:$G$1000,3,0)</f>
        <v/>
      </c>
      <c r="I453">
        <f>VLOOKUP(D453,Клиенты!$A$2:$D$1000,2,0)</f>
        <v/>
      </c>
      <c r="J453">
        <f>IF(AND(H453="Kaptur",I453="Окраинов Л.Г.",YEAR(B453)=2020),E453,0)</f>
        <v/>
      </c>
    </row>
    <row r="454">
      <c r="A454" s="6" t="n">
        <v>453</v>
      </c>
      <c r="B454" s="13" t="n">
        <v>43944</v>
      </c>
      <c r="C454" s="6" t="inlineStr">
        <is>
          <t>A37</t>
        </is>
      </c>
      <c r="D454" s="6" t="n">
        <v>8</v>
      </c>
      <c r="E454" s="15" t="n">
        <v>278</v>
      </c>
      <c r="F454" s="5" t="inlineStr">
        <is>
          <t>нет</t>
        </is>
      </c>
      <c r="H454">
        <f>VLOOKUP(C454,Автомобили!$A$2:$G$1000,3,0)</f>
        <v/>
      </c>
      <c r="I454">
        <f>VLOOKUP(D454,Клиенты!$A$2:$D$1000,2,0)</f>
        <v/>
      </c>
      <c r="J454">
        <f>IF(AND(H454="Kaptur",I454="Окраинов Л.Г.",YEAR(B454)=2020),E454,0)</f>
        <v/>
      </c>
    </row>
    <row r="455">
      <c r="A455" s="6" t="n">
        <v>454</v>
      </c>
      <c r="B455" s="13" t="n">
        <v>43944</v>
      </c>
      <c r="C455" s="6" t="inlineStr">
        <is>
          <t>A17</t>
        </is>
      </c>
      <c r="D455" s="6" t="n">
        <v>10</v>
      </c>
      <c r="E455" s="15" t="n">
        <v>101</v>
      </c>
      <c r="F455" s="5" t="inlineStr">
        <is>
          <t>нет</t>
        </is>
      </c>
      <c r="H455">
        <f>VLOOKUP(C455,Автомобили!$A$2:$G$1000,3,0)</f>
        <v/>
      </c>
      <c r="I455">
        <f>VLOOKUP(D455,Клиенты!$A$2:$D$1000,2,0)</f>
        <v/>
      </c>
      <c r="J455">
        <f>IF(AND(H455="Kaptur",I455="Окраинов Л.Г.",YEAR(B455)=2020),E455,0)</f>
        <v/>
      </c>
    </row>
    <row r="456">
      <c r="A456" s="6" t="n">
        <v>455</v>
      </c>
      <c r="B456" s="13" t="n">
        <v>43944</v>
      </c>
      <c r="C456" s="6" t="inlineStr">
        <is>
          <t>A43</t>
        </is>
      </c>
      <c r="D456" s="6" t="n">
        <v>14</v>
      </c>
      <c r="E456" s="15" t="n">
        <v>221</v>
      </c>
      <c r="F456" s="5" t="inlineStr">
        <is>
          <t>нет</t>
        </is>
      </c>
      <c r="H456">
        <f>VLOOKUP(C456,Автомобили!$A$2:$G$1000,3,0)</f>
        <v/>
      </c>
      <c r="I456">
        <f>VLOOKUP(D456,Клиенты!$A$2:$D$1000,2,0)</f>
        <v/>
      </c>
      <c r="J456">
        <f>IF(AND(H456="Kaptur",I456="Окраинов Л.Г.",YEAR(B456)=2020),E456,0)</f>
        <v/>
      </c>
    </row>
    <row r="457">
      <c r="A457" s="6" t="n">
        <v>456</v>
      </c>
      <c r="B457" s="13" t="n">
        <v>43944</v>
      </c>
      <c r="C457" s="6" t="inlineStr">
        <is>
          <t>A2</t>
        </is>
      </c>
      <c r="D457" s="6" t="n">
        <v>1</v>
      </c>
      <c r="E457" s="15" t="n">
        <v>133</v>
      </c>
      <c r="F457" s="5" t="inlineStr">
        <is>
          <t>нет</t>
        </is>
      </c>
      <c r="H457">
        <f>VLOOKUP(C457,Автомобили!$A$2:$G$1000,3,0)</f>
        <v/>
      </c>
      <c r="I457">
        <f>VLOOKUP(D457,Клиенты!$A$2:$D$1000,2,0)</f>
        <v/>
      </c>
      <c r="J457">
        <f>IF(AND(H457="Kaptur",I457="Окраинов Л.Г.",YEAR(B457)=2020),E457,0)</f>
        <v/>
      </c>
    </row>
    <row r="458">
      <c r="A458" s="6" t="n">
        <v>457</v>
      </c>
      <c r="B458" s="13" t="n">
        <v>43945</v>
      </c>
      <c r="C458" s="6" t="inlineStr">
        <is>
          <t>A16</t>
        </is>
      </c>
      <c r="D458" s="6" t="n">
        <v>9</v>
      </c>
      <c r="E458" s="15" t="n">
        <v>103</v>
      </c>
      <c r="F458" s="5" t="inlineStr">
        <is>
          <t>нет</t>
        </is>
      </c>
      <c r="H458">
        <f>VLOOKUP(C458,Автомобили!$A$2:$G$1000,3,0)</f>
        <v/>
      </c>
      <c r="I458">
        <f>VLOOKUP(D458,Клиенты!$A$2:$D$1000,2,0)</f>
        <v/>
      </c>
      <c r="J458">
        <f>IF(AND(H458="Kaptur",I458="Окраинов Л.Г.",YEAR(B458)=2020),E458,0)</f>
        <v/>
      </c>
    </row>
    <row r="459">
      <c r="A459" s="6" t="n">
        <v>458</v>
      </c>
      <c r="B459" s="13" t="n">
        <v>43945</v>
      </c>
      <c r="C459" s="6" t="inlineStr">
        <is>
          <t>A53</t>
        </is>
      </c>
      <c r="D459" s="6" t="n">
        <v>9</v>
      </c>
      <c r="E459" s="15" t="n">
        <v>251</v>
      </c>
      <c r="F459" s="5" t="inlineStr">
        <is>
          <t>нет</t>
        </is>
      </c>
      <c r="H459">
        <f>VLOOKUP(C459,Автомобили!$A$2:$G$1000,3,0)</f>
        <v/>
      </c>
      <c r="I459">
        <f>VLOOKUP(D459,Клиенты!$A$2:$D$1000,2,0)</f>
        <v/>
      </c>
      <c r="J459">
        <f>IF(AND(H459="Kaptur",I459="Окраинов Л.Г.",YEAR(B459)=2020),E459,0)</f>
        <v/>
      </c>
    </row>
    <row r="460">
      <c r="A460" s="6" t="n">
        <v>459</v>
      </c>
      <c r="B460" s="13" t="n">
        <v>43945</v>
      </c>
      <c r="C460" s="6" t="inlineStr">
        <is>
          <t>A61</t>
        </is>
      </c>
      <c r="D460" s="6" t="n">
        <v>3</v>
      </c>
      <c r="E460" s="15" t="n">
        <v>106</v>
      </c>
      <c r="F460" s="5" t="inlineStr">
        <is>
          <t>нет</t>
        </is>
      </c>
      <c r="H460">
        <f>VLOOKUP(C460,Автомобили!$A$2:$G$1000,3,0)</f>
        <v/>
      </c>
      <c r="I460">
        <f>VLOOKUP(D460,Клиенты!$A$2:$D$1000,2,0)</f>
        <v/>
      </c>
      <c r="J460">
        <f>IF(AND(H460="Kaptur",I460="Окраинов Л.Г.",YEAR(B460)=2020),E460,0)</f>
        <v/>
      </c>
    </row>
    <row r="461">
      <c r="A461" s="6" t="n">
        <v>460</v>
      </c>
      <c r="B461" s="13" t="n">
        <v>43945</v>
      </c>
      <c r="C461" s="6" t="inlineStr">
        <is>
          <t>A33</t>
        </is>
      </c>
      <c r="D461" s="6" t="n">
        <v>2</v>
      </c>
      <c r="E461" s="15" t="n">
        <v>347</v>
      </c>
      <c r="F461" s="5" t="inlineStr">
        <is>
          <t>нет</t>
        </is>
      </c>
      <c r="H461">
        <f>VLOOKUP(C461,Автомобили!$A$2:$G$1000,3,0)</f>
        <v/>
      </c>
      <c r="I461">
        <f>VLOOKUP(D461,Клиенты!$A$2:$D$1000,2,0)</f>
        <v/>
      </c>
      <c r="J461">
        <f>IF(AND(H461="Kaptur",I461="Окраинов Л.Г.",YEAR(B461)=2020),E461,0)</f>
        <v/>
      </c>
    </row>
    <row r="462">
      <c r="A462" s="6" t="n">
        <v>461</v>
      </c>
      <c r="B462" s="13" t="n">
        <v>43946</v>
      </c>
      <c r="C462" s="6" t="inlineStr">
        <is>
          <t>A24</t>
        </is>
      </c>
      <c r="D462" s="6" t="n">
        <v>8</v>
      </c>
      <c r="E462" s="15" t="n">
        <v>216</v>
      </c>
      <c r="F462" s="5" t="inlineStr">
        <is>
          <t>нет</t>
        </is>
      </c>
      <c r="H462">
        <f>VLOOKUP(C462,Автомобили!$A$2:$G$1000,3,0)</f>
        <v/>
      </c>
      <c r="I462">
        <f>VLOOKUP(D462,Клиенты!$A$2:$D$1000,2,0)</f>
        <v/>
      </c>
      <c r="J462">
        <f>IF(AND(H462="Kaptur",I462="Окраинов Л.Г.",YEAR(B462)=2020),E462,0)</f>
        <v/>
      </c>
    </row>
    <row r="463">
      <c r="A463" s="6" t="n">
        <v>462</v>
      </c>
      <c r="B463" s="13" t="n">
        <v>43946</v>
      </c>
      <c r="C463" s="6" t="inlineStr">
        <is>
          <t>A9</t>
        </is>
      </c>
      <c r="D463" s="6" t="n">
        <v>12</v>
      </c>
      <c r="E463" s="15" t="n">
        <v>299</v>
      </c>
      <c r="F463" s="5" t="inlineStr">
        <is>
          <t>нет</t>
        </is>
      </c>
      <c r="H463">
        <f>VLOOKUP(C463,Автомобили!$A$2:$G$1000,3,0)</f>
        <v/>
      </c>
      <c r="I463">
        <f>VLOOKUP(D463,Клиенты!$A$2:$D$1000,2,0)</f>
        <v/>
      </c>
      <c r="J463">
        <f>IF(AND(H463="Kaptur",I463="Окраинов Л.Г.",YEAR(B463)=2020),E463,0)</f>
        <v/>
      </c>
    </row>
    <row r="464">
      <c r="A464" s="6" t="n">
        <v>463</v>
      </c>
      <c r="B464" s="13" t="n">
        <v>43946</v>
      </c>
      <c r="C464" s="6" t="inlineStr">
        <is>
          <t>A38</t>
        </is>
      </c>
      <c r="D464" s="6" t="n">
        <v>12</v>
      </c>
      <c r="E464" s="15" t="n">
        <v>139</v>
      </c>
      <c r="F464" s="5" t="inlineStr">
        <is>
          <t>нет</t>
        </is>
      </c>
      <c r="H464">
        <f>VLOOKUP(C464,Автомобили!$A$2:$G$1000,3,0)</f>
        <v/>
      </c>
      <c r="I464">
        <f>VLOOKUP(D464,Клиенты!$A$2:$D$1000,2,0)</f>
        <v/>
      </c>
      <c r="J464">
        <f>IF(AND(H464="Kaptur",I464="Окраинов Л.Г.",YEAR(B464)=2020),E464,0)</f>
        <v/>
      </c>
    </row>
    <row r="465">
      <c r="A465" s="6" t="n">
        <v>464</v>
      </c>
      <c r="B465" s="13" t="n">
        <v>43946</v>
      </c>
      <c r="C465" s="6" t="inlineStr">
        <is>
          <t>A58</t>
        </is>
      </c>
      <c r="D465" s="6" t="n">
        <v>3</v>
      </c>
      <c r="E465" s="15" t="n">
        <v>72</v>
      </c>
      <c r="F465" s="5" t="inlineStr">
        <is>
          <t>нет</t>
        </is>
      </c>
      <c r="H465">
        <f>VLOOKUP(C465,Автомобили!$A$2:$G$1000,3,0)</f>
        <v/>
      </c>
      <c r="I465">
        <f>VLOOKUP(D465,Клиенты!$A$2:$D$1000,2,0)</f>
        <v/>
      </c>
      <c r="J465">
        <f>IF(AND(H465="Kaptur",I465="Окраинов Л.Г.",YEAR(B465)=2020),E465,0)</f>
        <v/>
      </c>
    </row>
    <row r="466">
      <c r="A466" s="6" t="n">
        <v>465</v>
      </c>
      <c r="B466" s="13" t="n">
        <v>43947</v>
      </c>
      <c r="C466" s="6" t="inlineStr">
        <is>
          <t>A25</t>
        </is>
      </c>
      <c r="D466" s="6" t="n">
        <v>10</v>
      </c>
      <c r="E466" s="15" t="n">
        <v>178</v>
      </c>
      <c r="F466" s="5" t="inlineStr">
        <is>
          <t>нет</t>
        </is>
      </c>
      <c r="H466">
        <f>VLOOKUP(C466,Автомобили!$A$2:$G$1000,3,0)</f>
        <v/>
      </c>
      <c r="I466">
        <f>VLOOKUP(D466,Клиенты!$A$2:$D$1000,2,0)</f>
        <v/>
      </c>
      <c r="J466">
        <f>IF(AND(H466="Kaptur",I466="Окраинов Л.Г.",YEAR(B466)=2020),E466,0)</f>
        <v/>
      </c>
    </row>
    <row r="467">
      <c r="A467" s="6" t="n">
        <v>466</v>
      </c>
      <c r="B467" s="13" t="n">
        <v>43947</v>
      </c>
      <c r="C467" s="6" t="inlineStr">
        <is>
          <t>A64</t>
        </is>
      </c>
      <c r="D467" s="6" t="n">
        <v>1</v>
      </c>
      <c r="E467" s="15" t="n">
        <v>214</v>
      </c>
      <c r="F467" s="5" t="inlineStr">
        <is>
          <t>нет</t>
        </is>
      </c>
      <c r="H467">
        <f>VLOOKUP(C467,Автомобили!$A$2:$G$1000,3,0)</f>
        <v/>
      </c>
      <c r="I467">
        <f>VLOOKUP(D467,Клиенты!$A$2:$D$1000,2,0)</f>
        <v/>
      </c>
      <c r="J467">
        <f>IF(AND(H467="Kaptur",I467="Окраинов Л.Г.",YEAR(B467)=2020),E467,0)</f>
        <v/>
      </c>
    </row>
    <row r="468">
      <c r="A468" s="6" t="n">
        <v>467</v>
      </c>
      <c r="B468" s="13" t="n">
        <v>43947</v>
      </c>
      <c r="C468" s="6" t="inlineStr">
        <is>
          <t>A55</t>
        </is>
      </c>
      <c r="D468" s="6" t="n">
        <v>8</v>
      </c>
      <c r="E468" s="15" t="n">
        <v>232</v>
      </c>
      <c r="F468" s="5" t="inlineStr">
        <is>
          <t>нет</t>
        </is>
      </c>
      <c r="H468">
        <f>VLOOKUP(C468,Автомобили!$A$2:$G$1000,3,0)</f>
        <v/>
      </c>
      <c r="I468">
        <f>VLOOKUP(D468,Клиенты!$A$2:$D$1000,2,0)</f>
        <v/>
      </c>
      <c r="J468">
        <f>IF(AND(H468="Kaptur",I468="Окраинов Л.Г.",YEAR(B468)=2020),E468,0)</f>
        <v/>
      </c>
    </row>
    <row r="469">
      <c r="A469" s="6" t="n">
        <v>468</v>
      </c>
      <c r="B469" s="13" t="n">
        <v>43947</v>
      </c>
      <c r="C469" s="6" t="inlineStr">
        <is>
          <t>A24</t>
        </is>
      </c>
      <c r="D469" s="6" t="n">
        <v>4</v>
      </c>
      <c r="E469" s="15" t="n">
        <v>341</v>
      </c>
      <c r="F469" s="5" t="inlineStr">
        <is>
          <t>нет</t>
        </is>
      </c>
      <c r="H469">
        <f>VLOOKUP(C469,Автомобили!$A$2:$G$1000,3,0)</f>
        <v/>
      </c>
      <c r="I469">
        <f>VLOOKUP(D469,Клиенты!$A$2:$D$1000,2,0)</f>
        <v/>
      </c>
      <c r="J469">
        <f>IF(AND(H469="Kaptur",I469="Окраинов Л.Г.",YEAR(B469)=2020),E469,0)</f>
        <v/>
      </c>
    </row>
    <row r="470">
      <c r="A470" s="6" t="n">
        <v>469</v>
      </c>
      <c r="B470" s="13" t="n">
        <v>43948</v>
      </c>
      <c r="C470" s="6" t="inlineStr">
        <is>
          <t>A62</t>
        </is>
      </c>
      <c r="D470" s="6" t="n">
        <v>3</v>
      </c>
      <c r="E470" s="15" t="n">
        <v>266</v>
      </c>
      <c r="F470" s="5" t="inlineStr">
        <is>
          <t>нет</t>
        </is>
      </c>
      <c r="H470">
        <f>VLOOKUP(C470,Автомобили!$A$2:$G$1000,3,0)</f>
        <v/>
      </c>
      <c r="I470">
        <f>VLOOKUP(D470,Клиенты!$A$2:$D$1000,2,0)</f>
        <v/>
      </c>
      <c r="J470">
        <f>IF(AND(H470="Kaptur",I470="Окраинов Л.Г.",YEAR(B470)=2020),E470,0)</f>
        <v/>
      </c>
    </row>
    <row r="471">
      <c r="A471" s="6" t="n">
        <v>470</v>
      </c>
      <c r="B471" s="13" t="n">
        <v>43948</v>
      </c>
      <c r="C471" s="6" t="inlineStr">
        <is>
          <t>A34</t>
        </is>
      </c>
      <c r="D471" s="6" t="n">
        <v>2</v>
      </c>
      <c r="E471" s="15" t="n">
        <v>420</v>
      </c>
      <c r="F471" s="5" t="inlineStr">
        <is>
          <t>нет</t>
        </is>
      </c>
      <c r="H471">
        <f>VLOOKUP(C471,Автомобили!$A$2:$G$1000,3,0)</f>
        <v/>
      </c>
      <c r="I471">
        <f>VLOOKUP(D471,Клиенты!$A$2:$D$1000,2,0)</f>
        <v/>
      </c>
      <c r="J471">
        <f>IF(AND(H471="Kaptur",I471="Окраинов Л.Г.",YEAR(B471)=2020),E471,0)</f>
        <v/>
      </c>
    </row>
    <row r="472">
      <c r="A472" s="6" t="n">
        <v>471</v>
      </c>
      <c r="B472" s="13" t="n">
        <v>43948</v>
      </c>
      <c r="C472" s="6" t="inlineStr">
        <is>
          <t>A24</t>
        </is>
      </c>
      <c r="D472" s="6" t="n">
        <v>14</v>
      </c>
      <c r="E472" s="15" t="n">
        <v>103</v>
      </c>
      <c r="F472" s="5" t="inlineStr">
        <is>
          <t>нет</t>
        </is>
      </c>
      <c r="H472">
        <f>VLOOKUP(C472,Автомобили!$A$2:$G$1000,3,0)</f>
        <v/>
      </c>
      <c r="I472">
        <f>VLOOKUP(D472,Клиенты!$A$2:$D$1000,2,0)</f>
        <v/>
      </c>
      <c r="J472">
        <f>IF(AND(H472="Kaptur",I472="Окраинов Л.Г.",YEAR(B472)=2020),E472,0)</f>
        <v/>
      </c>
    </row>
    <row r="473">
      <c r="A473" s="6" t="n">
        <v>472</v>
      </c>
      <c r="B473" s="13" t="n">
        <v>43948</v>
      </c>
      <c r="C473" s="6" t="inlineStr">
        <is>
          <t>A55</t>
        </is>
      </c>
      <c r="D473" s="6" t="n">
        <v>2</v>
      </c>
      <c r="E473" s="15" t="n">
        <v>232</v>
      </c>
      <c r="F473" s="5" t="inlineStr">
        <is>
          <t>нет</t>
        </is>
      </c>
      <c r="H473">
        <f>VLOOKUP(C473,Автомобили!$A$2:$G$1000,3,0)</f>
        <v/>
      </c>
      <c r="I473">
        <f>VLOOKUP(D473,Клиенты!$A$2:$D$1000,2,0)</f>
        <v/>
      </c>
      <c r="J473">
        <f>IF(AND(H473="Kaptur",I473="Окраинов Л.Г.",YEAR(B473)=2020),E473,0)</f>
        <v/>
      </c>
    </row>
    <row r="474">
      <c r="A474" s="6" t="n">
        <v>473</v>
      </c>
      <c r="B474" s="13" t="n">
        <v>43949</v>
      </c>
      <c r="C474" s="6" t="inlineStr">
        <is>
          <t>A27</t>
        </is>
      </c>
      <c r="D474" s="6" t="n">
        <v>15</v>
      </c>
      <c r="E474" s="15" t="n">
        <v>118</v>
      </c>
      <c r="F474" s="5" t="inlineStr">
        <is>
          <t>нет</t>
        </is>
      </c>
      <c r="H474">
        <f>VLOOKUP(C474,Автомобили!$A$2:$G$1000,3,0)</f>
        <v/>
      </c>
      <c r="I474">
        <f>VLOOKUP(D474,Клиенты!$A$2:$D$1000,2,0)</f>
        <v/>
      </c>
      <c r="J474">
        <f>IF(AND(H474="Kaptur",I474="Окраинов Л.Г.",YEAR(B474)=2020),E474,0)</f>
        <v/>
      </c>
    </row>
    <row r="475">
      <c r="A475" s="6" t="n">
        <v>474</v>
      </c>
      <c r="B475" s="13" t="n">
        <v>43949</v>
      </c>
      <c r="C475" s="6" t="inlineStr">
        <is>
          <t>A65</t>
        </is>
      </c>
      <c r="D475" s="6" t="n">
        <v>14</v>
      </c>
      <c r="E475" s="15" t="n">
        <v>196</v>
      </c>
      <c r="F475" s="5" t="inlineStr">
        <is>
          <t>нет</t>
        </is>
      </c>
      <c r="H475">
        <f>VLOOKUP(C475,Автомобили!$A$2:$G$1000,3,0)</f>
        <v/>
      </c>
      <c r="I475">
        <f>VLOOKUP(D475,Клиенты!$A$2:$D$1000,2,0)</f>
        <v/>
      </c>
      <c r="J475">
        <f>IF(AND(H475="Kaptur",I475="Окраинов Л.Г.",YEAR(B475)=2020),E475,0)</f>
        <v/>
      </c>
    </row>
    <row r="476">
      <c r="A476" s="6" t="n">
        <v>475</v>
      </c>
      <c r="B476" s="13" t="n">
        <v>43949</v>
      </c>
      <c r="C476" s="6" t="inlineStr">
        <is>
          <t>A50</t>
        </is>
      </c>
      <c r="D476" s="6" t="n">
        <v>14</v>
      </c>
      <c r="E476" s="15" t="n">
        <v>123</v>
      </c>
      <c r="F476" s="5" t="inlineStr">
        <is>
          <t>нет</t>
        </is>
      </c>
      <c r="H476">
        <f>VLOOKUP(C476,Автомобили!$A$2:$G$1000,3,0)</f>
        <v/>
      </c>
      <c r="I476">
        <f>VLOOKUP(D476,Клиенты!$A$2:$D$1000,2,0)</f>
        <v/>
      </c>
      <c r="J476">
        <f>IF(AND(H476="Kaptur",I476="Окраинов Л.Г.",YEAR(B476)=2020),E476,0)</f>
        <v/>
      </c>
    </row>
    <row r="477">
      <c r="A477" s="6" t="n">
        <v>476</v>
      </c>
      <c r="B477" s="13" t="n">
        <v>43949</v>
      </c>
      <c r="C477" s="6" t="inlineStr">
        <is>
          <t>A44</t>
        </is>
      </c>
      <c r="D477" s="6" t="n">
        <v>13</v>
      </c>
      <c r="E477" s="15" t="n">
        <v>321</v>
      </c>
      <c r="F477" s="5" t="inlineStr">
        <is>
          <t>нет</t>
        </is>
      </c>
      <c r="H477">
        <f>VLOOKUP(C477,Автомобили!$A$2:$G$1000,3,0)</f>
        <v/>
      </c>
      <c r="I477">
        <f>VLOOKUP(D477,Клиенты!$A$2:$D$1000,2,0)</f>
        <v/>
      </c>
      <c r="J477">
        <f>IF(AND(H477="Kaptur",I477="Окраинов Л.Г.",YEAR(B477)=2020),E477,0)</f>
        <v/>
      </c>
    </row>
    <row r="478">
      <c r="A478" s="6" t="n">
        <v>477</v>
      </c>
      <c r="B478" s="13" t="n">
        <v>43950</v>
      </c>
      <c r="C478" s="6" t="inlineStr">
        <is>
          <t>A18</t>
        </is>
      </c>
      <c r="D478" s="6" t="n">
        <v>9</v>
      </c>
      <c r="E478" s="15" t="n">
        <v>446</v>
      </c>
      <c r="F478" s="5" t="inlineStr">
        <is>
          <t>нет</t>
        </is>
      </c>
      <c r="H478">
        <f>VLOOKUP(C478,Автомобили!$A$2:$G$1000,3,0)</f>
        <v/>
      </c>
      <c r="I478">
        <f>VLOOKUP(D478,Клиенты!$A$2:$D$1000,2,0)</f>
        <v/>
      </c>
      <c r="J478">
        <f>IF(AND(H478="Kaptur",I478="Окраинов Л.Г.",YEAR(B478)=2020),E478,0)</f>
        <v/>
      </c>
    </row>
    <row r="479">
      <c r="A479" s="6" t="n">
        <v>478</v>
      </c>
      <c r="B479" s="13" t="n">
        <v>43950</v>
      </c>
      <c r="C479" s="6" t="inlineStr">
        <is>
          <t>A62</t>
        </is>
      </c>
      <c r="D479" s="6" t="n">
        <v>9</v>
      </c>
      <c r="E479" s="15" t="n">
        <v>83</v>
      </c>
      <c r="F479" s="5" t="inlineStr">
        <is>
          <t>нет</t>
        </is>
      </c>
      <c r="H479">
        <f>VLOOKUP(C479,Автомобили!$A$2:$G$1000,3,0)</f>
        <v/>
      </c>
      <c r="I479">
        <f>VLOOKUP(D479,Клиенты!$A$2:$D$1000,2,0)</f>
        <v/>
      </c>
      <c r="J479">
        <f>IF(AND(H479="Kaptur",I479="Окраинов Л.Г.",YEAR(B479)=2020),E479,0)</f>
        <v/>
      </c>
    </row>
    <row r="480">
      <c r="A480" s="6" t="n">
        <v>479</v>
      </c>
      <c r="B480" s="13" t="n">
        <v>43950</v>
      </c>
      <c r="C480" s="6" t="inlineStr">
        <is>
          <t>A24</t>
        </is>
      </c>
      <c r="D480" s="6" t="n">
        <v>10</v>
      </c>
      <c r="E480" s="15" t="n">
        <v>379</v>
      </c>
      <c r="F480" s="5" t="inlineStr">
        <is>
          <t>нет</t>
        </is>
      </c>
      <c r="H480">
        <f>VLOOKUP(C480,Автомобили!$A$2:$G$1000,3,0)</f>
        <v/>
      </c>
      <c r="I480">
        <f>VLOOKUP(D480,Клиенты!$A$2:$D$1000,2,0)</f>
        <v/>
      </c>
      <c r="J480">
        <f>IF(AND(H480="Kaptur",I480="Окраинов Л.Г.",YEAR(B480)=2020),E480,0)</f>
        <v/>
      </c>
    </row>
    <row r="481">
      <c r="A481" s="6" t="n">
        <v>480</v>
      </c>
      <c r="B481" s="13" t="n">
        <v>43950</v>
      </c>
      <c r="C481" s="6" t="inlineStr">
        <is>
          <t>A16</t>
        </is>
      </c>
      <c r="D481" s="6" t="n">
        <v>12</v>
      </c>
      <c r="E481" s="15" t="n">
        <v>262</v>
      </c>
      <c r="F481" s="5" t="inlineStr">
        <is>
          <t>нет</t>
        </is>
      </c>
      <c r="H481">
        <f>VLOOKUP(C481,Автомобили!$A$2:$G$1000,3,0)</f>
        <v/>
      </c>
      <c r="I481">
        <f>VLOOKUP(D481,Клиенты!$A$2:$D$1000,2,0)</f>
        <v/>
      </c>
      <c r="J481">
        <f>IF(AND(H481="Kaptur",I481="Окраинов Л.Г.",YEAR(B481)=2020),E481,0)</f>
        <v/>
      </c>
    </row>
    <row r="482">
      <c r="A482" s="6" t="n">
        <v>481</v>
      </c>
      <c r="B482" s="13" t="n">
        <v>43951</v>
      </c>
      <c r="C482" s="6" t="inlineStr">
        <is>
          <t>A10</t>
        </is>
      </c>
      <c r="D482" s="6" t="n">
        <v>7</v>
      </c>
      <c r="E482" s="15" t="n">
        <v>313</v>
      </c>
      <c r="F482" s="5" t="inlineStr">
        <is>
          <t>нет</t>
        </is>
      </c>
      <c r="H482">
        <f>VLOOKUP(C482,Автомобили!$A$2:$G$1000,3,0)</f>
        <v/>
      </c>
      <c r="I482">
        <f>VLOOKUP(D482,Клиенты!$A$2:$D$1000,2,0)</f>
        <v/>
      </c>
      <c r="J482">
        <f>IF(AND(H482="Kaptur",I482="Окраинов Л.Г.",YEAR(B482)=2020),E482,0)</f>
        <v/>
      </c>
    </row>
    <row r="483">
      <c r="A483" s="6" t="n">
        <v>482</v>
      </c>
      <c r="B483" s="13" t="n">
        <v>43951</v>
      </c>
      <c r="C483" s="6" t="inlineStr">
        <is>
          <t>A56</t>
        </is>
      </c>
      <c r="D483" s="6" t="n">
        <v>14</v>
      </c>
      <c r="E483" s="15" t="n">
        <v>428</v>
      </c>
      <c r="F483" s="5" t="inlineStr">
        <is>
          <t>нет</t>
        </is>
      </c>
      <c r="H483">
        <f>VLOOKUP(C483,Автомобили!$A$2:$G$1000,3,0)</f>
        <v/>
      </c>
      <c r="I483">
        <f>VLOOKUP(D483,Клиенты!$A$2:$D$1000,2,0)</f>
        <v/>
      </c>
      <c r="J483">
        <f>IF(AND(H483="Kaptur",I483="Окраинов Л.Г.",YEAR(B483)=2020),E483,0)</f>
        <v/>
      </c>
    </row>
    <row r="484">
      <c r="A484" s="6" t="n">
        <v>483</v>
      </c>
      <c r="B484" s="13" t="n">
        <v>43951</v>
      </c>
      <c r="C484" s="6" t="inlineStr">
        <is>
          <t>A62</t>
        </is>
      </c>
      <c r="D484" s="6" t="n">
        <v>2</v>
      </c>
      <c r="E484" s="15" t="n">
        <v>120</v>
      </c>
      <c r="F484" s="5" t="inlineStr">
        <is>
          <t>нет</t>
        </is>
      </c>
      <c r="H484">
        <f>VLOOKUP(C484,Автомобили!$A$2:$G$1000,3,0)</f>
        <v/>
      </c>
      <c r="I484">
        <f>VLOOKUP(D484,Клиенты!$A$2:$D$1000,2,0)</f>
        <v/>
      </c>
      <c r="J484">
        <f>IF(AND(H484="Kaptur",I484="Окраинов Л.Г.",YEAR(B484)=2020),E484,0)</f>
        <v/>
      </c>
    </row>
    <row r="485">
      <c r="A485" s="6" t="n">
        <v>484</v>
      </c>
      <c r="B485" s="13" t="n">
        <v>43951</v>
      </c>
      <c r="C485" s="6" t="inlineStr">
        <is>
          <t>A50</t>
        </is>
      </c>
      <c r="D485" s="6" t="n">
        <v>3</v>
      </c>
      <c r="E485" s="15" t="n">
        <v>121</v>
      </c>
      <c r="F485" s="5" t="inlineStr">
        <is>
          <t>нет</t>
        </is>
      </c>
      <c r="H485">
        <f>VLOOKUP(C485,Автомобили!$A$2:$G$1000,3,0)</f>
        <v/>
      </c>
      <c r="I485">
        <f>VLOOKUP(D485,Клиенты!$A$2:$D$1000,2,0)</f>
        <v/>
      </c>
      <c r="J485">
        <f>IF(AND(H485="Kaptur",I485="Окраинов Л.Г.",YEAR(B485)=2020),E485,0)</f>
        <v/>
      </c>
    </row>
    <row r="486">
      <c r="A486" s="6" t="n">
        <v>485</v>
      </c>
      <c r="B486" s="13" t="n">
        <v>43952</v>
      </c>
      <c r="C486" s="6" t="inlineStr">
        <is>
          <t>A26</t>
        </is>
      </c>
      <c r="D486" s="6" t="n">
        <v>5</v>
      </c>
      <c r="E486" s="15" t="n">
        <v>318</v>
      </c>
      <c r="F486" s="5" t="inlineStr">
        <is>
          <t>нет</t>
        </is>
      </c>
      <c r="H486">
        <f>VLOOKUP(C486,Автомобили!$A$2:$G$1000,3,0)</f>
        <v/>
      </c>
      <c r="I486">
        <f>VLOOKUP(D486,Клиенты!$A$2:$D$1000,2,0)</f>
        <v/>
      </c>
      <c r="J486">
        <f>IF(AND(H486="Kaptur",I486="Окраинов Л.Г.",YEAR(B486)=2020),E486,0)</f>
        <v/>
      </c>
    </row>
    <row r="487">
      <c r="A487" s="6" t="n">
        <v>486</v>
      </c>
      <c r="B487" s="13" t="n">
        <v>43952</v>
      </c>
      <c r="C487" s="6" t="inlineStr">
        <is>
          <t>A48</t>
        </is>
      </c>
      <c r="D487" s="6" t="n">
        <v>10</v>
      </c>
      <c r="E487" s="15" t="n">
        <v>445</v>
      </c>
      <c r="F487" s="5" t="inlineStr">
        <is>
          <t>нет</t>
        </is>
      </c>
      <c r="H487">
        <f>VLOOKUP(C487,Автомобили!$A$2:$G$1000,3,0)</f>
        <v/>
      </c>
      <c r="I487">
        <f>VLOOKUP(D487,Клиенты!$A$2:$D$1000,2,0)</f>
        <v/>
      </c>
      <c r="J487">
        <f>IF(AND(H487="Kaptur",I487="Окраинов Л.Г.",YEAR(B487)=2020),E487,0)</f>
        <v/>
      </c>
    </row>
    <row r="488">
      <c r="A488" s="6" t="n">
        <v>487</v>
      </c>
      <c r="B488" s="13" t="n">
        <v>43952</v>
      </c>
      <c r="C488" s="6" t="inlineStr">
        <is>
          <t>A1</t>
        </is>
      </c>
      <c r="D488" s="6" t="n">
        <v>5</v>
      </c>
      <c r="E488" s="15" t="n">
        <v>288</v>
      </c>
      <c r="F488" s="5" t="inlineStr">
        <is>
          <t>нет</t>
        </is>
      </c>
      <c r="H488">
        <f>VLOOKUP(C488,Автомобили!$A$2:$G$1000,3,0)</f>
        <v/>
      </c>
      <c r="I488">
        <f>VLOOKUP(D488,Клиенты!$A$2:$D$1000,2,0)</f>
        <v/>
      </c>
      <c r="J488">
        <f>IF(AND(H488="Kaptur",I488="Окраинов Л.Г.",YEAR(B488)=2020),E488,0)</f>
        <v/>
      </c>
    </row>
    <row r="489">
      <c r="A489" s="6" t="n">
        <v>488</v>
      </c>
      <c r="B489" s="13" t="n">
        <v>43952</v>
      </c>
      <c r="C489" s="6" t="inlineStr">
        <is>
          <t>A17</t>
        </is>
      </c>
      <c r="D489" s="6" t="n">
        <v>1</v>
      </c>
      <c r="E489" s="15" t="n">
        <v>441</v>
      </c>
      <c r="F489" s="5" t="inlineStr">
        <is>
          <t>нет</t>
        </is>
      </c>
      <c r="H489">
        <f>VLOOKUP(C489,Автомобили!$A$2:$G$1000,3,0)</f>
        <v/>
      </c>
      <c r="I489">
        <f>VLOOKUP(D489,Клиенты!$A$2:$D$1000,2,0)</f>
        <v/>
      </c>
      <c r="J489">
        <f>IF(AND(H489="Kaptur",I489="Окраинов Л.Г.",YEAR(B489)=2020),E489,0)</f>
        <v/>
      </c>
    </row>
    <row r="490">
      <c r="A490" s="6" t="n">
        <v>489</v>
      </c>
      <c r="B490" s="13" t="n">
        <v>43953</v>
      </c>
      <c r="C490" s="6" t="inlineStr">
        <is>
          <t>A31</t>
        </is>
      </c>
      <c r="D490" s="6" t="n">
        <v>6</v>
      </c>
      <c r="E490" s="15" t="n">
        <v>318</v>
      </c>
      <c r="F490" s="5" t="inlineStr">
        <is>
          <t>нет</t>
        </is>
      </c>
      <c r="H490">
        <f>VLOOKUP(C490,Автомобили!$A$2:$G$1000,3,0)</f>
        <v/>
      </c>
      <c r="I490">
        <f>VLOOKUP(D490,Клиенты!$A$2:$D$1000,2,0)</f>
        <v/>
      </c>
      <c r="J490">
        <f>IF(AND(H490="Kaptur",I490="Окраинов Л.Г.",YEAR(B490)=2020),E490,0)</f>
        <v/>
      </c>
    </row>
    <row r="491">
      <c r="A491" s="6" t="n">
        <v>490</v>
      </c>
      <c r="B491" s="13" t="n">
        <v>43953</v>
      </c>
      <c r="C491" s="6" t="inlineStr">
        <is>
          <t>A50</t>
        </is>
      </c>
      <c r="D491" s="6" t="n">
        <v>11</v>
      </c>
      <c r="E491" s="15" t="n">
        <v>214</v>
      </c>
      <c r="F491" s="5" t="inlineStr">
        <is>
          <t>нет</t>
        </is>
      </c>
      <c r="H491">
        <f>VLOOKUP(C491,Автомобили!$A$2:$G$1000,3,0)</f>
        <v/>
      </c>
      <c r="I491">
        <f>VLOOKUP(D491,Клиенты!$A$2:$D$1000,2,0)</f>
        <v/>
      </c>
      <c r="J491">
        <f>IF(AND(H491="Kaptur",I491="Окраинов Л.Г.",YEAR(B491)=2020),E491,0)</f>
        <v/>
      </c>
    </row>
    <row r="492">
      <c r="A492" s="6" t="n">
        <v>491</v>
      </c>
      <c r="B492" s="13" t="n">
        <v>43953</v>
      </c>
      <c r="C492" s="6" t="inlineStr">
        <is>
          <t>A6</t>
        </is>
      </c>
      <c r="D492" s="6" t="n">
        <v>5</v>
      </c>
      <c r="E492" s="15" t="n">
        <v>135</v>
      </c>
      <c r="F492" s="5" t="inlineStr">
        <is>
          <t>нет</t>
        </is>
      </c>
      <c r="H492">
        <f>VLOOKUP(C492,Автомобили!$A$2:$G$1000,3,0)</f>
        <v/>
      </c>
      <c r="I492">
        <f>VLOOKUP(D492,Клиенты!$A$2:$D$1000,2,0)</f>
        <v/>
      </c>
      <c r="J492">
        <f>IF(AND(H492="Kaptur",I492="Окраинов Л.Г.",YEAR(B492)=2020),E492,0)</f>
        <v/>
      </c>
    </row>
    <row r="493">
      <c r="A493" s="6" t="n">
        <v>492</v>
      </c>
      <c r="B493" s="13" t="n">
        <v>43953</v>
      </c>
      <c r="C493" s="6" t="inlineStr">
        <is>
          <t>A34</t>
        </is>
      </c>
      <c r="D493" s="6" t="n">
        <v>10</v>
      </c>
      <c r="E493" s="15" t="n">
        <v>268</v>
      </c>
      <c r="F493" s="5" t="inlineStr">
        <is>
          <t>нет</t>
        </is>
      </c>
      <c r="H493">
        <f>VLOOKUP(C493,Автомобили!$A$2:$G$1000,3,0)</f>
        <v/>
      </c>
      <c r="I493">
        <f>VLOOKUP(D493,Клиенты!$A$2:$D$1000,2,0)</f>
        <v/>
      </c>
      <c r="J493">
        <f>IF(AND(H493="Kaptur",I493="Окраинов Л.Г.",YEAR(B493)=2020),E493,0)</f>
        <v/>
      </c>
    </row>
    <row r="494">
      <c r="A494" s="6" t="n">
        <v>493</v>
      </c>
      <c r="B494" s="13" t="n">
        <v>43954</v>
      </c>
      <c r="C494" s="6" t="inlineStr">
        <is>
          <t>A14</t>
        </is>
      </c>
      <c r="D494" s="6" t="n">
        <v>6</v>
      </c>
      <c r="E494" s="15" t="n">
        <v>336</v>
      </c>
      <c r="F494" s="5" t="inlineStr">
        <is>
          <t>нет</t>
        </is>
      </c>
      <c r="H494">
        <f>VLOOKUP(C494,Автомобили!$A$2:$G$1000,3,0)</f>
        <v/>
      </c>
      <c r="I494">
        <f>VLOOKUP(D494,Клиенты!$A$2:$D$1000,2,0)</f>
        <v/>
      </c>
      <c r="J494">
        <f>IF(AND(H494="Kaptur",I494="Окраинов Л.Г.",YEAR(B494)=2020),E494,0)</f>
        <v/>
      </c>
    </row>
    <row r="495">
      <c r="A495" s="6" t="n">
        <v>494</v>
      </c>
      <c r="B495" s="13" t="n">
        <v>43954</v>
      </c>
      <c r="C495" s="6" t="inlineStr">
        <is>
          <t>A3</t>
        </is>
      </c>
      <c r="D495" s="6" t="n">
        <v>12</v>
      </c>
      <c r="E495" s="15" t="n">
        <v>439</v>
      </c>
      <c r="F495" s="5" t="inlineStr">
        <is>
          <t>нет</t>
        </is>
      </c>
      <c r="H495">
        <f>VLOOKUP(C495,Автомобили!$A$2:$G$1000,3,0)</f>
        <v/>
      </c>
      <c r="I495">
        <f>VLOOKUP(D495,Клиенты!$A$2:$D$1000,2,0)</f>
        <v/>
      </c>
      <c r="J495">
        <f>IF(AND(H495="Kaptur",I495="Окраинов Л.Г.",YEAR(B495)=2020),E495,0)</f>
        <v/>
      </c>
    </row>
    <row r="496">
      <c r="A496" s="6" t="n">
        <v>495</v>
      </c>
      <c r="B496" s="13" t="n">
        <v>43954</v>
      </c>
      <c r="C496" s="6" t="inlineStr">
        <is>
          <t>A36</t>
        </is>
      </c>
      <c r="D496" s="6" t="n">
        <v>4</v>
      </c>
      <c r="E496" s="15" t="n">
        <v>313</v>
      </c>
      <c r="F496" s="5" t="inlineStr">
        <is>
          <t>нет</t>
        </is>
      </c>
      <c r="H496">
        <f>VLOOKUP(C496,Автомобили!$A$2:$G$1000,3,0)</f>
        <v/>
      </c>
      <c r="I496">
        <f>VLOOKUP(D496,Клиенты!$A$2:$D$1000,2,0)</f>
        <v/>
      </c>
      <c r="J496">
        <f>IF(AND(H496="Kaptur",I496="Окраинов Л.Г.",YEAR(B496)=2020),E496,0)</f>
        <v/>
      </c>
    </row>
    <row r="497">
      <c r="A497" s="6" t="n">
        <v>496</v>
      </c>
      <c r="B497" s="13" t="n">
        <v>43954</v>
      </c>
      <c r="C497" s="6" t="inlineStr">
        <is>
          <t>A15</t>
        </is>
      </c>
      <c r="D497" s="6" t="n">
        <v>5</v>
      </c>
      <c r="E497" s="15" t="n">
        <v>429</v>
      </c>
      <c r="F497" s="5" t="inlineStr">
        <is>
          <t>нет</t>
        </is>
      </c>
      <c r="H497">
        <f>VLOOKUP(C497,Автомобили!$A$2:$G$1000,3,0)</f>
        <v/>
      </c>
      <c r="I497">
        <f>VLOOKUP(D497,Клиенты!$A$2:$D$1000,2,0)</f>
        <v/>
      </c>
      <c r="J497">
        <f>IF(AND(H497="Kaptur",I497="Окраинов Л.Г.",YEAR(B497)=2020),E497,0)</f>
        <v/>
      </c>
    </row>
    <row r="498">
      <c r="A498" s="6" t="n">
        <v>497</v>
      </c>
      <c r="B498" s="13" t="n">
        <v>43955</v>
      </c>
      <c r="C498" s="6" t="inlineStr">
        <is>
          <t>A26</t>
        </is>
      </c>
      <c r="D498" s="6" t="n">
        <v>6</v>
      </c>
      <c r="E498" s="15" t="n">
        <v>208</v>
      </c>
      <c r="F498" s="5" t="inlineStr">
        <is>
          <t>нет</t>
        </is>
      </c>
      <c r="H498">
        <f>VLOOKUP(C498,Автомобили!$A$2:$G$1000,3,0)</f>
        <v/>
      </c>
      <c r="I498">
        <f>VLOOKUP(D498,Клиенты!$A$2:$D$1000,2,0)</f>
        <v/>
      </c>
      <c r="J498">
        <f>IF(AND(H498="Kaptur",I498="Окраинов Л.Г.",YEAR(B498)=2020),E498,0)</f>
        <v/>
      </c>
    </row>
    <row r="499">
      <c r="A499" s="6" t="n">
        <v>498</v>
      </c>
      <c r="B499" s="13" t="n">
        <v>43955</v>
      </c>
      <c r="C499" s="6" t="inlineStr">
        <is>
          <t>A50</t>
        </is>
      </c>
      <c r="D499" s="6" t="n">
        <v>5</v>
      </c>
      <c r="E499" s="15" t="n">
        <v>366</v>
      </c>
      <c r="F499" s="5" t="inlineStr">
        <is>
          <t>нет</t>
        </is>
      </c>
      <c r="H499">
        <f>VLOOKUP(C499,Автомобили!$A$2:$G$1000,3,0)</f>
        <v/>
      </c>
      <c r="I499">
        <f>VLOOKUP(D499,Клиенты!$A$2:$D$1000,2,0)</f>
        <v/>
      </c>
      <c r="J499">
        <f>IF(AND(H499="Kaptur",I499="Окраинов Л.Г.",YEAR(B499)=2020),E499,0)</f>
        <v/>
      </c>
    </row>
    <row r="500">
      <c r="A500" s="6" t="n">
        <v>499</v>
      </c>
      <c r="B500" s="13" t="n">
        <v>43955</v>
      </c>
      <c r="C500" s="6" t="inlineStr">
        <is>
          <t>A3</t>
        </is>
      </c>
      <c r="D500" s="6" t="n">
        <v>14</v>
      </c>
      <c r="E500" s="15" t="n">
        <v>187</v>
      </c>
      <c r="F500" s="5" t="inlineStr">
        <is>
          <t>нет</t>
        </is>
      </c>
      <c r="H500">
        <f>VLOOKUP(C500,Автомобили!$A$2:$G$1000,3,0)</f>
        <v/>
      </c>
      <c r="I500">
        <f>VLOOKUP(D500,Клиенты!$A$2:$D$1000,2,0)</f>
        <v/>
      </c>
      <c r="J500">
        <f>IF(AND(H500="Kaptur",I500="Окраинов Л.Г.",YEAR(B500)=2020),E500,0)</f>
        <v/>
      </c>
    </row>
    <row r="501">
      <c r="A501" s="6" t="n">
        <v>500</v>
      </c>
      <c r="B501" s="13" t="n">
        <v>43955</v>
      </c>
      <c r="C501" s="6" t="inlineStr">
        <is>
          <t>A61</t>
        </is>
      </c>
      <c r="D501" s="6" t="n">
        <v>15</v>
      </c>
      <c r="E501" s="15" t="n">
        <v>165</v>
      </c>
      <c r="F501" s="5" t="inlineStr">
        <is>
          <t>нет</t>
        </is>
      </c>
      <c r="H501">
        <f>VLOOKUP(C501,Автомобили!$A$2:$G$1000,3,0)</f>
        <v/>
      </c>
      <c r="I501">
        <f>VLOOKUP(D501,Клиенты!$A$2:$D$1000,2,0)</f>
        <v/>
      </c>
      <c r="J501">
        <f>IF(AND(H501="Kaptur",I501="Окраинов Л.Г.",YEAR(B501)=2020),E501,0)</f>
        <v/>
      </c>
    </row>
    <row r="502">
      <c r="A502" s="6" t="n">
        <v>501</v>
      </c>
      <c r="B502" s="13" t="n">
        <v>43956</v>
      </c>
      <c r="C502" s="6" t="inlineStr">
        <is>
          <t>A43</t>
        </is>
      </c>
      <c r="D502" s="6" t="n">
        <v>6</v>
      </c>
      <c r="E502" s="15" t="n">
        <v>338</v>
      </c>
      <c r="F502" s="5" t="inlineStr">
        <is>
          <t>нет</t>
        </is>
      </c>
      <c r="H502">
        <f>VLOOKUP(C502,Автомобили!$A$2:$G$1000,3,0)</f>
        <v/>
      </c>
      <c r="I502">
        <f>VLOOKUP(D502,Клиенты!$A$2:$D$1000,2,0)</f>
        <v/>
      </c>
      <c r="J502">
        <f>IF(AND(H502="Kaptur",I502="Окраинов Л.Г.",YEAR(B502)=2020),E502,0)</f>
        <v/>
      </c>
    </row>
    <row r="503">
      <c r="A503" s="6" t="n">
        <v>502</v>
      </c>
      <c r="B503" s="13" t="n">
        <v>43956</v>
      </c>
      <c r="C503" s="6" t="inlineStr">
        <is>
          <t>A56</t>
        </is>
      </c>
      <c r="D503" s="6" t="n">
        <v>8</v>
      </c>
      <c r="E503" s="15" t="n">
        <v>101</v>
      </c>
      <c r="F503" s="5" t="inlineStr">
        <is>
          <t>нет</t>
        </is>
      </c>
      <c r="H503">
        <f>VLOOKUP(C503,Автомобили!$A$2:$G$1000,3,0)</f>
        <v/>
      </c>
      <c r="I503">
        <f>VLOOKUP(D503,Клиенты!$A$2:$D$1000,2,0)</f>
        <v/>
      </c>
      <c r="J503">
        <f>IF(AND(H503="Kaptur",I503="Окраинов Л.Г.",YEAR(B503)=2020),E503,0)</f>
        <v/>
      </c>
    </row>
    <row r="504">
      <c r="A504" s="6" t="n">
        <v>503</v>
      </c>
      <c r="B504" s="13" t="n">
        <v>43956</v>
      </c>
      <c r="C504" s="6" t="inlineStr">
        <is>
          <t>A47</t>
        </is>
      </c>
      <c r="D504" s="6" t="n">
        <v>10</v>
      </c>
      <c r="E504" s="15" t="n">
        <v>188</v>
      </c>
      <c r="F504" s="5" t="inlineStr">
        <is>
          <t>нет</t>
        </is>
      </c>
      <c r="H504">
        <f>VLOOKUP(C504,Автомобили!$A$2:$G$1000,3,0)</f>
        <v/>
      </c>
      <c r="I504">
        <f>VLOOKUP(D504,Клиенты!$A$2:$D$1000,2,0)</f>
        <v/>
      </c>
      <c r="J504">
        <f>IF(AND(H504="Kaptur",I504="Окраинов Л.Г.",YEAR(B504)=2020),E504,0)</f>
        <v/>
      </c>
    </row>
    <row r="505">
      <c r="A505" s="6" t="n">
        <v>504</v>
      </c>
      <c r="B505" s="13" t="n">
        <v>43956</v>
      </c>
      <c r="C505" s="6" t="inlineStr">
        <is>
          <t>A57</t>
        </is>
      </c>
      <c r="D505" s="6" t="n">
        <v>2</v>
      </c>
      <c r="E505" s="15" t="n">
        <v>267</v>
      </c>
      <c r="F505" s="5" t="inlineStr">
        <is>
          <t>нет</t>
        </is>
      </c>
      <c r="H505">
        <f>VLOOKUP(C505,Автомобили!$A$2:$G$1000,3,0)</f>
        <v/>
      </c>
      <c r="I505">
        <f>VLOOKUP(D505,Клиенты!$A$2:$D$1000,2,0)</f>
        <v/>
      </c>
      <c r="J505">
        <f>IF(AND(H505="Kaptur",I505="Окраинов Л.Г.",YEAR(B505)=2020),E505,0)</f>
        <v/>
      </c>
    </row>
    <row r="506">
      <c r="A506" s="6" t="n">
        <v>505</v>
      </c>
      <c r="B506" s="13" t="n">
        <v>43957</v>
      </c>
      <c r="C506" s="6" t="inlineStr">
        <is>
          <t>A1</t>
        </is>
      </c>
      <c r="D506" s="6" t="n">
        <v>11</v>
      </c>
      <c r="E506" s="15" t="n">
        <v>157</v>
      </c>
      <c r="F506" s="5" t="inlineStr">
        <is>
          <t>нет</t>
        </is>
      </c>
      <c r="H506">
        <f>VLOOKUP(C506,Автомобили!$A$2:$G$1000,3,0)</f>
        <v/>
      </c>
      <c r="I506">
        <f>VLOOKUP(D506,Клиенты!$A$2:$D$1000,2,0)</f>
        <v/>
      </c>
      <c r="J506">
        <f>IF(AND(H506="Kaptur",I506="Окраинов Л.Г.",YEAR(B506)=2020),E506,0)</f>
        <v/>
      </c>
    </row>
    <row r="507">
      <c r="A507" s="6" t="n">
        <v>506</v>
      </c>
      <c r="B507" s="13" t="n">
        <v>43957</v>
      </c>
      <c r="C507" s="6" t="inlineStr">
        <is>
          <t>A28</t>
        </is>
      </c>
      <c r="D507" s="6" t="n">
        <v>2</v>
      </c>
      <c r="E507" s="15" t="n">
        <v>90</v>
      </c>
      <c r="F507" s="5" t="inlineStr">
        <is>
          <t>нет</t>
        </is>
      </c>
      <c r="H507">
        <f>VLOOKUP(C507,Автомобили!$A$2:$G$1000,3,0)</f>
        <v/>
      </c>
      <c r="I507">
        <f>VLOOKUP(D507,Клиенты!$A$2:$D$1000,2,0)</f>
        <v/>
      </c>
      <c r="J507">
        <f>IF(AND(H507="Kaptur",I507="Окраинов Л.Г.",YEAR(B507)=2020),E507,0)</f>
        <v/>
      </c>
    </row>
    <row r="508">
      <c r="A508" s="6" t="n">
        <v>507</v>
      </c>
      <c r="B508" s="13" t="n">
        <v>43957</v>
      </c>
      <c r="C508" s="6" t="inlineStr">
        <is>
          <t>A42</t>
        </is>
      </c>
      <c r="D508" s="6" t="n">
        <v>4</v>
      </c>
      <c r="E508" s="15" t="n">
        <v>281</v>
      </c>
      <c r="F508" s="5" t="inlineStr">
        <is>
          <t>нет</t>
        </is>
      </c>
      <c r="H508">
        <f>VLOOKUP(C508,Автомобили!$A$2:$G$1000,3,0)</f>
        <v/>
      </c>
      <c r="I508">
        <f>VLOOKUP(D508,Клиенты!$A$2:$D$1000,2,0)</f>
        <v/>
      </c>
      <c r="J508">
        <f>IF(AND(H508="Kaptur",I508="Окраинов Л.Г.",YEAR(B508)=2020),E508,0)</f>
        <v/>
      </c>
    </row>
    <row r="509">
      <c r="A509" s="6" t="n">
        <v>508</v>
      </c>
      <c r="B509" s="13" t="n">
        <v>43957</v>
      </c>
      <c r="C509" s="6" t="inlineStr">
        <is>
          <t>A13</t>
        </is>
      </c>
      <c r="D509" s="6" t="n">
        <v>6</v>
      </c>
      <c r="E509" s="15" t="n">
        <v>395</v>
      </c>
      <c r="F509" s="5" t="inlineStr">
        <is>
          <t>нет</t>
        </is>
      </c>
      <c r="H509">
        <f>VLOOKUP(C509,Автомобили!$A$2:$G$1000,3,0)</f>
        <v/>
      </c>
      <c r="I509">
        <f>VLOOKUP(D509,Клиенты!$A$2:$D$1000,2,0)</f>
        <v/>
      </c>
      <c r="J509">
        <f>IF(AND(H509="Kaptur",I509="Окраинов Л.Г.",YEAR(B509)=2020),E509,0)</f>
        <v/>
      </c>
    </row>
    <row r="510">
      <c r="A510" s="6" t="n">
        <v>509</v>
      </c>
      <c r="B510" s="13" t="n">
        <v>43958</v>
      </c>
      <c r="C510" s="6" t="inlineStr">
        <is>
          <t>A42</t>
        </is>
      </c>
      <c r="D510" s="6" t="n">
        <v>1</v>
      </c>
      <c r="E510" s="15" t="n">
        <v>152</v>
      </c>
      <c r="F510" s="5" t="inlineStr">
        <is>
          <t>нет</t>
        </is>
      </c>
      <c r="H510">
        <f>VLOOKUP(C510,Автомобили!$A$2:$G$1000,3,0)</f>
        <v/>
      </c>
      <c r="I510">
        <f>VLOOKUP(D510,Клиенты!$A$2:$D$1000,2,0)</f>
        <v/>
      </c>
      <c r="J510">
        <f>IF(AND(H510="Kaptur",I510="Окраинов Л.Г.",YEAR(B510)=2020),E510,0)</f>
        <v/>
      </c>
    </row>
    <row r="511">
      <c r="A511" s="6" t="n">
        <v>510</v>
      </c>
      <c r="B511" s="13" t="n">
        <v>43958</v>
      </c>
      <c r="C511" s="6" t="inlineStr">
        <is>
          <t>A55</t>
        </is>
      </c>
      <c r="D511" s="6" t="n">
        <v>2</v>
      </c>
      <c r="E511" s="15" t="n">
        <v>147</v>
      </c>
      <c r="F511" s="5" t="inlineStr">
        <is>
          <t>нет</t>
        </is>
      </c>
      <c r="H511">
        <f>VLOOKUP(C511,Автомобили!$A$2:$G$1000,3,0)</f>
        <v/>
      </c>
      <c r="I511">
        <f>VLOOKUP(D511,Клиенты!$A$2:$D$1000,2,0)</f>
        <v/>
      </c>
      <c r="J511">
        <f>IF(AND(H511="Kaptur",I511="Окраинов Л.Г.",YEAR(B511)=2020),E511,0)</f>
        <v/>
      </c>
    </row>
    <row r="512">
      <c r="A512" s="6" t="n">
        <v>511</v>
      </c>
      <c r="B512" s="13" t="n">
        <v>43958</v>
      </c>
      <c r="C512" s="6" t="inlineStr">
        <is>
          <t>A22</t>
        </is>
      </c>
      <c r="D512" s="6" t="n">
        <v>13</v>
      </c>
      <c r="E512" s="15" t="n">
        <v>246</v>
      </c>
      <c r="F512" s="5" t="inlineStr">
        <is>
          <t>нет</t>
        </is>
      </c>
      <c r="H512">
        <f>VLOOKUP(C512,Автомобили!$A$2:$G$1000,3,0)</f>
        <v/>
      </c>
      <c r="I512">
        <f>VLOOKUP(D512,Клиенты!$A$2:$D$1000,2,0)</f>
        <v/>
      </c>
      <c r="J512">
        <f>IF(AND(H512="Kaptur",I512="Окраинов Л.Г.",YEAR(B512)=2020),E512,0)</f>
        <v/>
      </c>
    </row>
    <row r="513">
      <c r="A513" s="6" t="n">
        <v>512</v>
      </c>
      <c r="B513" s="13" t="n">
        <v>43958</v>
      </c>
      <c r="C513" s="6" t="inlineStr">
        <is>
          <t>A15</t>
        </is>
      </c>
      <c r="D513" s="6" t="n">
        <v>12</v>
      </c>
      <c r="E513" s="15" t="n">
        <v>356</v>
      </c>
      <c r="F513" s="5" t="inlineStr">
        <is>
          <t>нет</t>
        </is>
      </c>
      <c r="H513">
        <f>VLOOKUP(C513,Автомобили!$A$2:$G$1000,3,0)</f>
        <v/>
      </c>
      <c r="I513">
        <f>VLOOKUP(D513,Клиенты!$A$2:$D$1000,2,0)</f>
        <v/>
      </c>
      <c r="J513">
        <f>IF(AND(H513="Kaptur",I513="Окраинов Л.Г.",YEAR(B513)=2020),E513,0)</f>
        <v/>
      </c>
    </row>
    <row r="514">
      <c r="A514" s="6" t="n">
        <v>513</v>
      </c>
      <c r="B514" s="13" t="n">
        <v>43959</v>
      </c>
      <c r="C514" s="6" t="inlineStr">
        <is>
          <t>A7</t>
        </is>
      </c>
      <c r="D514" s="6" t="n">
        <v>9</v>
      </c>
      <c r="E514" s="15" t="n">
        <v>358</v>
      </c>
      <c r="F514" s="5" t="inlineStr">
        <is>
          <t>нет</t>
        </is>
      </c>
      <c r="H514">
        <f>VLOOKUP(C514,Автомобили!$A$2:$G$1000,3,0)</f>
        <v/>
      </c>
      <c r="I514">
        <f>VLOOKUP(D514,Клиенты!$A$2:$D$1000,2,0)</f>
        <v/>
      </c>
      <c r="J514">
        <f>IF(AND(H514="Kaptur",I514="Окраинов Л.Г.",YEAR(B514)=2020),E514,0)</f>
        <v/>
      </c>
    </row>
    <row r="515">
      <c r="A515" s="6" t="n">
        <v>514</v>
      </c>
      <c r="B515" s="13" t="n">
        <v>43959</v>
      </c>
      <c r="C515" s="6" t="inlineStr">
        <is>
          <t>A18</t>
        </is>
      </c>
      <c r="D515" s="6" t="n">
        <v>9</v>
      </c>
      <c r="E515" s="15" t="n">
        <v>350</v>
      </c>
      <c r="F515" s="5" t="inlineStr">
        <is>
          <t>нет</t>
        </is>
      </c>
      <c r="H515">
        <f>VLOOKUP(C515,Автомобили!$A$2:$G$1000,3,0)</f>
        <v/>
      </c>
      <c r="I515">
        <f>VLOOKUP(D515,Клиенты!$A$2:$D$1000,2,0)</f>
        <v/>
      </c>
      <c r="J515">
        <f>IF(AND(H515="Kaptur",I515="Окраинов Л.Г.",YEAR(B515)=2020),E515,0)</f>
        <v/>
      </c>
    </row>
    <row r="516">
      <c r="A516" s="6" t="n">
        <v>515</v>
      </c>
      <c r="B516" s="13" t="n">
        <v>43959</v>
      </c>
      <c r="C516" s="6" t="inlineStr">
        <is>
          <t>A25</t>
        </is>
      </c>
      <c r="D516" s="6" t="n">
        <v>1</v>
      </c>
      <c r="E516" s="15" t="n">
        <v>107</v>
      </c>
      <c r="F516" s="5" t="inlineStr">
        <is>
          <t>нет</t>
        </is>
      </c>
      <c r="H516">
        <f>VLOOKUP(C516,Автомобили!$A$2:$G$1000,3,0)</f>
        <v/>
      </c>
      <c r="I516">
        <f>VLOOKUP(D516,Клиенты!$A$2:$D$1000,2,0)</f>
        <v/>
      </c>
      <c r="J516">
        <f>IF(AND(H516="Kaptur",I516="Окраинов Л.Г.",YEAR(B516)=2020),E516,0)</f>
        <v/>
      </c>
    </row>
    <row r="517">
      <c r="A517" s="6" t="n">
        <v>516</v>
      </c>
      <c r="B517" s="13" t="n">
        <v>43959</v>
      </c>
      <c r="C517" s="6" t="inlineStr">
        <is>
          <t>A6</t>
        </is>
      </c>
      <c r="D517" s="6" t="n">
        <v>11</v>
      </c>
      <c r="E517" s="15" t="n">
        <v>157</v>
      </c>
      <c r="F517" s="5" t="inlineStr">
        <is>
          <t>нет</t>
        </is>
      </c>
      <c r="H517">
        <f>VLOOKUP(C517,Автомобили!$A$2:$G$1000,3,0)</f>
        <v/>
      </c>
      <c r="I517">
        <f>VLOOKUP(D517,Клиенты!$A$2:$D$1000,2,0)</f>
        <v/>
      </c>
      <c r="J517">
        <f>IF(AND(H517="Kaptur",I517="Окраинов Л.Г.",YEAR(B517)=2020),E517,0)</f>
        <v/>
      </c>
    </row>
    <row r="518">
      <c r="A518" s="6" t="n">
        <v>517</v>
      </c>
      <c r="B518" s="13" t="n">
        <v>43960</v>
      </c>
      <c r="C518" s="6" t="inlineStr">
        <is>
          <t>A37</t>
        </is>
      </c>
      <c r="D518" s="6" t="n">
        <v>7</v>
      </c>
      <c r="E518" s="15" t="n">
        <v>130</v>
      </c>
      <c r="F518" s="5" t="inlineStr">
        <is>
          <t>нет</t>
        </is>
      </c>
      <c r="H518">
        <f>VLOOKUP(C518,Автомобили!$A$2:$G$1000,3,0)</f>
        <v/>
      </c>
      <c r="I518">
        <f>VLOOKUP(D518,Клиенты!$A$2:$D$1000,2,0)</f>
        <v/>
      </c>
      <c r="J518">
        <f>IF(AND(H518="Kaptur",I518="Окраинов Л.Г.",YEAR(B518)=2020),E518,0)</f>
        <v/>
      </c>
    </row>
    <row r="519">
      <c r="A519" s="6" t="n">
        <v>518</v>
      </c>
      <c r="B519" s="13" t="n">
        <v>43960</v>
      </c>
      <c r="C519" s="6" t="inlineStr">
        <is>
          <t>A50</t>
        </is>
      </c>
      <c r="D519" s="6" t="n">
        <v>5</v>
      </c>
      <c r="E519" s="15" t="n">
        <v>87</v>
      </c>
      <c r="F519" s="5" t="inlineStr">
        <is>
          <t>нет</t>
        </is>
      </c>
      <c r="H519">
        <f>VLOOKUP(C519,Автомобили!$A$2:$G$1000,3,0)</f>
        <v/>
      </c>
      <c r="I519">
        <f>VLOOKUP(D519,Клиенты!$A$2:$D$1000,2,0)</f>
        <v/>
      </c>
      <c r="J519">
        <f>IF(AND(H519="Kaptur",I519="Окраинов Л.Г.",YEAR(B519)=2020),E519,0)</f>
        <v/>
      </c>
    </row>
    <row r="520">
      <c r="A520" s="6" t="n">
        <v>519</v>
      </c>
      <c r="B520" s="13" t="n">
        <v>43960</v>
      </c>
      <c r="C520" s="6" t="inlineStr">
        <is>
          <t>A36</t>
        </is>
      </c>
      <c r="D520" s="6" t="n">
        <v>10</v>
      </c>
      <c r="E520" s="15" t="n">
        <v>268</v>
      </c>
      <c r="F520" s="5" t="inlineStr">
        <is>
          <t>нет</t>
        </is>
      </c>
      <c r="H520">
        <f>VLOOKUP(C520,Автомобили!$A$2:$G$1000,3,0)</f>
        <v/>
      </c>
      <c r="I520">
        <f>VLOOKUP(D520,Клиенты!$A$2:$D$1000,2,0)</f>
        <v/>
      </c>
      <c r="J520">
        <f>IF(AND(H520="Kaptur",I520="Окраинов Л.Г.",YEAR(B520)=2020),E520,0)</f>
        <v/>
      </c>
    </row>
    <row r="521">
      <c r="A521" s="6" t="n">
        <v>520</v>
      </c>
      <c r="B521" s="13" t="n">
        <v>43960</v>
      </c>
      <c r="C521" s="6" t="inlineStr">
        <is>
          <t>A52</t>
        </is>
      </c>
      <c r="D521" s="6" t="n">
        <v>2</v>
      </c>
      <c r="E521" s="15" t="n">
        <v>414</v>
      </c>
      <c r="F521" s="5" t="inlineStr">
        <is>
          <t>нет</t>
        </is>
      </c>
      <c r="H521">
        <f>VLOOKUP(C521,Автомобили!$A$2:$G$1000,3,0)</f>
        <v/>
      </c>
      <c r="I521">
        <f>VLOOKUP(D521,Клиенты!$A$2:$D$1000,2,0)</f>
        <v/>
      </c>
      <c r="J521">
        <f>IF(AND(H521="Kaptur",I521="Окраинов Л.Г.",YEAR(B521)=2020),E521,0)</f>
        <v/>
      </c>
    </row>
    <row r="522">
      <c r="A522" s="6" t="n">
        <v>521</v>
      </c>
      <c r="B522" s="13" t="n">
        <v>43961</v>
      </c>
      <c r="C522" s="6" t="inlineStr">
        <is>
          <t>A36</t>
        </is>
      </c>
      <c r="D522" s="6" t="n">
        <v>14</v>
      </c>
      <c r="E522" s="15" t="n">
        <v>291</v>
      </c>
      <c r="F522" s="5" t="inlineStr">
        <is>
          <t>нет</t>
        </is>
      </c>
      <c r="H522">
        <f>VLOOKUP(C522,Автомобили!$A$2:$G$1000,3,0)</f>
        <v/>
      </c>
      <c r="I522">
        <f>VLOOKUP(D522,Клиенты!$A$2:$D$1000,2,0)</f>
        <v/>
      </c>
      <c r="J522">
        <f>IF(AND(H522="Kaptur",I522="Окраинов Л.Г.",YEAR(B522)=2020),E522,0)</f>
        <v/>
      </c>
    </row>
    <row r="523">
      <c r="A523" s="6" t="n">
        <v>522</v>
      </c>
      <c r="B523" s="13" t="n">
        <v>43961</v>
      </c>
      <c r="C523" s="6" t="inlineStr">
        <is>
          <t>A17</t>
        </is>
      </c>
      <c r="D523" s="6" t="n">
        <v>7</v>
      </c>
      <c r="E523" s="15" t="n">
        <v>248</v>
      </c>
      <c r="F523" s="5" t="inlineStr">
        <is>
          <t>нет</t>
        </is>
      </c>
      <c r="H523">
        <f>VLOOKUP(C523,Автомобили!$A$2:$G$1000,3,0)</f>
        <v/>
      </c>
      <c r="I523">
        <f>VLOOKUP(D523,Клиенты!$A$2:$D$1000,2,0)</f>
        <v/>
      </c>
      <c r="J523">
        <f>IF(AND(H523="Kaptur",I523="Окраинов Л.Г.",YEAR(B523)=2020),E523,0)</f>
        <v/>
      </c>
    </row>
    <row r="524">
      <c r="A524" s="6" t="n">
        <v>523</v>
      </c>
      <c r="B524" s="13" t="n">
        <v>43961</v>
      </c>
      <c r="C524" s="6" t="inlineStr">
        <is>
          <t>A8</t>
        </is>
      </c>
      <c r="D524" s="6" t="n">
        <v>10</v>
      </c>
      <c r="E524" s="15" t="n">
        <v>286</v>
      </c>
      <c r="F524" s="5" t="inlineStr">
        <is>
          <t>нет</t>
        </is>
      </c>
      <c r="H524">
        <f>VLOOKUP(C524,Автомобили!$A$2:$G$1000,3,0)</f>
        <v/>
      </c>
      <c r="I524">
        <f>VLOOKUP(D524,Клиенты!$A$2:$D$1000,2,0)</f>
        <v/>
      </c>
      <c r="J524">
        <f>IF(AND(H524="Kaptur",I524="Окраинов Л.Г.",YEAR(B524)=2020),E524,0)</f>
        <v/>
      </c>
    </row>
    <row r="525">
      <c r="A525" s="6" t="n">
        <v>524</v>
      </c>
      <c r="B525" s="13" t="n">
        <v>43961</v>
      </c>
      <c r="C525" s="6" t="inlineStr">
        <is>
          <t>A8</t>
        </is>
      </c>
      <c r="D525" s="6" t="n">
        <v>5</v>
      </c>
      <c r="E525" s="15" t="n">
        <v>276</v>
      </c>
      <c r="F525" s="5" t="inlineStr">
        <is>
          <t>нет</t>
        </is>
      </c>
      <c r="H525">
        <f>VLOOKUP(C525,Автомобили!$A$2:$G$1000,3,0)</f>
        <v/>
      </c>
      <c r="I525">
        <f>VLOOKUP(D525,Клиенты!$A$2:$D$1000,2,0)</f>
        <v/>
      </c>
      <c r="J525">
        <f>IF(AND(H525="Kaptur",I525="Окраинов Л.Г.",YEAR(B525)=2020),E525,0)</f>
        <v/>
      </c>
    </row>
    <row r="526">
      <c r="A526" s="6" t="n">
        <v>525</v>
      </c>
      <c r="B526" s="13" t="n">
        <v>43962</v>
      </c>
      <c r="C526" s="6" t="inlineStr">
        <is>
          <t>A34</t>
        </is>
      </c>
      <c r="D526" s="6" t="n">
        <v>15</v>
      </c>
      <c r="E526" s="15" t="n">
        <v>178</v>
      </c>
      <c r="F526" s="5" t="inlineStr">
        <is>
          <t>нет</t>
        </is>
      </c>
      <c r="H526">
        <f>VLOOKUP(C526,Автомобили!$A$2:$G$1000,3,0)</f>
        <v/>
      </c>
      <c r="I526">
        <f>VLOOKUP(D526,Клиенты!$A$2:$D$1000,2,0)</f>
        <v/>
      </c>
      <c r="J526">
        <f>IF(AND(H526="Kaptur",I526="Окраинов Л.Г.",YEAR(B526)=2020),E526,0)</f>
        <v/>
      </c>
    </row>
    <row r="527">
      <c r="A527" s="6" t="n">
        <v>526</v>
      </c>
      <c r="B527" s="13" t="n">
        <v>43962</v>
      </c>
      <c r="C527" s="6" t="inlineStr">
        <is>
          <t>A3</t>
        </is>
      </c>
      <c r="D527" s="6" t="n">
        <v>9</v>
      </c>
      <c r="E527" s="15" t="n">
        <v>331</v>
      </c>
      <c r="F527" s="5" t="inlineStr">
        <is>
          <t>нет</t>
        </is>
      </c>
      <c r="H527">
        <f>VLOOKUP(C527,Автомобили!$A$2:$G$1000,3,0)</f>
        <v/>
      </c>
      <c r="I527">
        <f>VLOOKUP(D527,Клиенты!$A$2:$D$1000,2,0)</f>
        <v/>
      </c>
      <c r="J527">
        <f>IF(AND(H527="Kaptur",I527="Окраинов Л.Г.",YEAR(B527)=2020),E527,0)</f>
        <v/>
      </c>
    </row>
    <row r="528">
      <c r="A528" s="6" t="n">
        <v>527</v>
      </c>
      <c r="B528" s="13" t="n">
        <v>43962</v>
      </c>
      <c r="C528" s="6" t="inlineStr">
        <is>
          <t>A1</t>
        </is>
      </c>
      <c r="D528" s="6" t="n">
        <v>8</v>
      </c>
      <c r="E528" s="15" t="n">
        <v>214</v>
      </c>
      <c r="F528" s="5" t="inlineStr">
        <is>
          <t>нет</t>
        </is>
      </c>
      <c r="H528">
        <f>VLOOKUP(C528,Автомобили!$A$2:$G$1000,3,0)</f>
        <v/>
      </c>
      <c r="I528">
        <f>VLOOKUP(D528,Клиенты!$A$2:$D$1000,2,0)</f>
        <v/>
      </c>
      <c r="J528">
        <f>IF(AND(H528="Kaptur",I528="Окраинов Л.Г.",YEAR(B528)=2020),E528,0)</f>
        <v/>
      </c>
    </row>
    <row r="529">
      <c r="A529" s="6" t="n">
        <v>528</v>
      </c>
      <c r="B529" s="13" t="n">
        <v>43962</v>
      </c>
      <c r="C529" s="6" t="inlineStr">
        <is>
          <t>A30</t>
        </is>
      </c>
      <c r="D529" s="6" t="n">
        <v>12</v>
      </c>
      <c r="E529" s="15" t="n">
        <v>450</v>
      </c>
      <c r="F529" s="5" t="inlineStr">
        <is>
          <t>нет</t>
        </is>
      </c>
      <c r="H529">
        <f>VLOOKUP(C529,Автомобили!$A$2:$G$1000,3,0)</f>
        <v/>
      </c>
      <c r="I529">
        <f>VLOOKUP(D529,Клиенты!$A$2:$D$1000,2,0)</f>
        <v/>
      </c>
      <c r="J529">
        <f>IF(AND(H529="Kaptur",I529="Окраинов Л.Г.",YEAR(B529)=2020),E529,0)</f>
        <v/>
      </c>
    </row>
    <row r="530">
      <c r="A530" s="6" t="n">
        <v>529</v>
      </c>
      <c r="B530" s="13" t="n">
        <v>43963</v>
      </c>
      <c r="C530" s="6" t="inlineStr">
        <is>
          <t>A10</t>
        </is>
      </c>
      <c r="D530" s="6" t="n">
        <v>6</v>
      </c>
      <c r="E530" s="15" t="n">
        <v>289</v>
      </c>
      <c r="F530" s="5" t="inlineStr">
        <is>
          <t>нет</t>
        </is>
      </c>
      <c r="H530">
        <f>VLOOKUP(C530,Автомобили!$A$2:$G$1000,3,0)</f>
        <v/>
      </c>
      <c r="I530">
        <f>VLOOKUP(D530,Клиенты!$A$2:$D$1000,2,0)</f>
        <v/>
      </c>
      <c r="J530">
        <f>IF(AND(H530="Kaptur",I530="Окраинов Л.Г.",YEAR(B530)=2020),E530,0)</f>
        <v/>
      </c>
    </row>
    <row r="531">
      <c r="A531" s="6" t="n">
        <v>530</v>
      </c>
      <c r="B531" s="13" t="n">
        <v>43963</v>
      </c>
      <c r="C531" s="6" t="inlineStr">
        <is>
          <t>A14</t>
        </is>
      </c>
      <c r="D531" s="6" t="n">
        <v>3</v>
      </c>
      <c r="E531" s="15" t="n">
        <v>369</v>
      </c>
      <c r="F531" s="5" t="inlineStr">
        <is>
          <t>нет</t>
        </is>
      </c>
      <c r="H531">
        <f>VLOOKUP(C531,Автомобили!$A$2:$G$1000,3,0)</f>
        <v/>
      </c>
      <c r="I531">
        <f>VLOOKUP(D531,Клиенты!$A$2:$D$1000,2,0)</f>
        <v/>
      </c>
      <c r="J531">
        <f>IF(AND(H531="Kaptur",I531="Окраинов Л.Г.",YEAR(B531)=2020),E531,0)</f>
        <v/>
      </c>
    </row>
    <row r="532">
      <c r="A532" s="6" t="n">
        <v>531</v>
      </c>
      <c r="B532" s="13" t="n">
        <v>43963</v>
      </c>
      <c r="C532" s="6" t="inlineStr">
        <is>
          <t>A5</t>
        </is>
      </c>
      <c r="D532" s="6" t="n">
        <v>9</v>
      </c>
      <c r="E532" s="15" t="n">
        <v>403</v>
      </c>
      <c r="F532" s="5" t="inlineStr">
        <is>
          <t>нет</t>
        </is>
      </c>
      <c r="H532">
        <f>VLOOKUP(C532,Автомобили!$A$2:$G$1000,3,0)</f>
        <v/>
      </c>
      <c r="I532">
        <f>VLOOKUP(D532,Клиенты!$A$2:$D$1000,2,0)</f>
        <v/>
      </c>
      <c r="J532">
        <f>IF(AND(H532="Kaptur",I532="Окраинов Л.Г.",YEAR(B532)=2020),E532,0)</f>
        <v/>
      </c>
    </row>
    <row r="533">
      <c r="A533" s="6" t="n">
        <v>532</v>
      </c>
      <c r="B533" s="13" t="n">
        <v>43963</v>
      </c>
      <c r="C533" s="6" t="inlineStr">
        <is>
          <t>A7</t>
        </is>
      </c>
      <c r="D533" s="6" t="n">
        <v>11</v>
      </c>
      <c r="E533" s="15" t="n">
        <v>245</v>
      </c>
      <c r="F533" s="5" t="inlineStr">
        <is>
          <t>нет</t>
        </is>
      </c>
      <c r="H533">
        <f>VLOOKUP(C533,Автомобили!$A$2:$G$1000,3,0)</f>
        <v/>
      </c>
      <c r="I533">
        <f>VLOOKUP(D533,Клиенты!$A$2:$D$1000,2,0)</f>
        <v/>
      </c>
      <c r="J533">
        <f>IF(AND(H533="Kaptur",I533="Окраинов Л.Г.",YEAR(B533)=2020),E533,0)</f>
        <v/>
      </c>
    </row>
    <row r="534">
      <c r="A534" s="6" t="n">
        <v>533</v>
      </c>
      <c r="B534" s="13" t="n">
        <v>43964</v>
      </c>
      <c r="C534" s="6" t="inlineStr">
        <is>
          <t>A28</t>
        </is>
      </c>
      <c r="D534" s="6" t="n">
        <v>12</v>
      </c>
      <c r="E534" s="15" t="n">
        <v>150</v>
      </c>
      <c r="F534" s="5" t="inlineStr">
        <is>
          <t>нет</t>
        </is>
      </c>
      <c r="H534">
        <f>VLOOKUP(C534,Автомобили!$A$2:$G$1000,3,0)</f>
        <v/>
      </c>
      <c r="I534">
        <f>VLOOKUP(D534,Клиенты!$A$2:$D$1000,2,0)</f>
        <v/>
      </c>
      <c r="J534">
        <f>IF(AND(H534="Kaptur",I534="Окраинов Л.Г.",YEAR(B534)=2020),E534,0)</f>
        <v/>
      </c>
    </row>
    <row r="535">
      <c r="A535" s="6" t="n">
        <v>534</v>
      </c>
      <c r="B535" s="13" t="n">
        <v>43964</v>
      </c>
      <c r="C535" s="6" t="inlineStr">
        <is>
          <t>A35</t>
        </is>
      </c>
      <c r="D535" s="6" t="n">
        <v>12</v>
      </c>
      <c r="E535" s="15" t="n">
        <v>197</v>
      </c>
      <c r="F535" s="5" t="inlineStr">
        <is>
          <t>нет</t>
        </is>
      </c>
      <c r="H535">
        <f>VLOOKUP(C535,Автомобили!$A$2:$G$1000,3,0)</f>
        <v/>
      </c>
      <c r="I535">
        <f>VLOOKUP(D535,Клиенты!$A$2:$D$1000,2,0)</f>
        <v/>
      </c>
      <c r="J535">
        <f>IF(AND(H535="Kaptur",I535="Окраинов Л.Г.",YEAR(B535)=2020),E535,0)</f>
        <v/>
      </c>
    </row>
    <row r="536">
      <c r="A536" s="6" t="n">
        <v>535</v>
      </c>
      <c r="B536" s="13" t="n">
        <v>43964</v>
      </c>
      <c r="C536" s="6" t="inlineStr">
        <is>
          <t>A16</t>
        </is>
      </c>
      <c r="D536" s="6" t="n">
        <v>10</v>
      </c>
      <c r="E536" s="15" t="n">
        <v>156</v>
      </c>
      <c r="F536" s="5" t="inlineStr">
        <is>
          <t>нет</t>
        </is>
      </c>
      <c r="H536">
        <f>VLOOKUP(C536,Автомобили!$A$2:$G$1000,3,0)</f>
        <v/>
      </c>
      <c r="I536">
        <f>VLOOKUP(D536,Клиенты!$A$2:$D$1000,2,0)</f>
        <v/>
      </c>
      <c r="J536">
        <f>IF(AND(H536="Kaptur",I536="Окраинов Л.Г.",YEAR(B536)=2020),E536,0)</f>
        <v/>
      </c>
    </row>
    <row r="537">
      <c r="A537" s="6" t="n">
        <v>536</v>
      </c>
      <c r="B537" s="13" t="n">
        <v>43964</v>
      </c>
      <c r="C537" s="6" t="inlineStr">
        <is>
          <t>A20</t>
        </is>
      </c>
      <c r="D537" s="6" t="n">
        <v>1</v>
      </c>
      <c r="E537" s="15" t="n">
        <v>325</v>
      </c>
      <c r="F537" s="5" t="inlineStr">
        <is>
          <t>нет</t>
        </is>
      </c>
      <c r="H537">
        <f>VLOOKUP(C537,Автомобили!$A$2:$G$1000,3,0)</f>
        <v/>
      </c>
      <c r="I537">
        <f>VLOOKUP(D537,Клиенты!$A$2:$D$1000,2,0)</f>
        <v/>
      </c>
      <c r="J537">
        <f>IF(AND(H537="Kaptur",I537="Окраинов Л.Г.",YEAR(B537)=2020),E537,0)</f>
        <v/>
      </c>
    </row>
    <row r="538">
      <c r="A538" s="6" t="n">
        <v>537</v>
      </c>
      <c r="B538" s="13" t="n">
        <v>43965</v>
      </c>
      <c r="C538" s="6" t="inlineStr">
        <is>
          <t>A16</t>
        </is>
      </c>
      <c r="D538" s="6" t="n">
        <v>4</v>
      </c>
      <c r="E538" s="15" t="n">
        <v>102</v>
      </c>
      <c r="F538" s="5" t="inlineStr">
        <is>
          <t>нет</t>
        </is>
      </c>
      <c r="H538">
        <f>VLOOKUP(C538,Автомобили!$A$2:$G$1000,3,0)</f>
        <v/>
      </c>
      <c r="I538">
        <f>VLOOKUP(D538,Клиенты!$A$2:$D$1000,2,0)</f>
        <v/>
      </c>
      <c r="J538">
        <f>IF(AND(H538="Kaptur",I538="Окраинов Л.Г.",YEAR(B538)=2020),E538,0)</f>
        <v/>
      </c>
    </row>
    <row r="539">
      <c r="A539" s="6" t="n">
        <v>538</v>
      </c>
      <c r="B539" s="13" t="n">
        <v>43965</v>
      </c>
      <c r="C539" s="6" t="inlineStr">
        <is>
          <t>A48</t>
        </is>
      </c>
      <c r="D539" s="6" t="n">
        <v>11</v>
      </c>
      <c r="E539" s="15" t="n">
        <v>133</v>
      </c>
      <c r="F539" s="5" t="inlineStr">
        <is>
          <t>нет</t>
        </is>
      </c>
      <c r="H539">
        <f>VLOOKUP(C539,Автомобили!$A$2:$G$1000,3,0)</f>
        <v/>
      </c>
      <c r="I539">
        <f>VLOOKUP(D539,Клиенты!$A$2:$D$1000,2,0)</f>
        <v/>
      </c>
      <c r="J539">
        <f>IF(AND(H539="Kaptur",I539="Окраинов Л.Г.",YEAR(B539)=2020),E539,0)</f>
        <v/>
      </c>
    </row>
    <row r="540">
      <c r="A540" s="6" t="n">
        <v>539</v>
      </c>
      <c r="B540" s="13" t="n">
        <v>43965</v>
      </c>
      <c r="C540" s="6" t="inlineStr">
        <is>
          <t>A32</t>
        </is>
      </c>
      <c r="D540" s="6" t="n">
        <v>10</v>
      </c>
      <c r="E540" s="15" t="n">
        <v>300</v>
      </c>
      <c r="F540" s="5" t="inlineStr">
        <is>
          <t>нет</t>
        </is>
      </c>
      <c r="H540">
        <f>VLOOKUP(C540,Автомобили!$A$2:$G$1000,3,0)</f>
        <v/>
      </c>
      <c r="I540">
        <f>VLOOKUP(D540,Клиенты!$A$2:$D$1000,2,0)</f>
        <v/>
      </c>
      <c r="J540">
        <f>IF(AND(H540="Kaptur",I540="Окраинов Л.Г.",YEAR(B540)=2020),E540,0)</f>
        <v/>
      </c>
    </row>
    <row r="541">
      <c r="A541" s="6" t="n">
        <v>540</v>
      </c>
      <c r="B541" s="13" t="n">
        <v>43965</v>
      </c>
      <c r="C541" s="6" t="inlineStr">
        <is>
          <t>A63</t>
        </is>
      </c>
      <c r="D541" s="6" t="n">
        <v>8</v>
      </c>
      <c r="E541" s="15" t="n">
        <v>183</v>
      </c>
      <c r="F541" s="5" t="inlineStr">
        <is>
          <t>нет</t>
        </is>
      </c>
      <c r="H541">
        <f>VLOOKUP(C541,Автомобили!$A$2:$G$1000,3,0)</f>
        <v/>
      </c>
      <c r="I541">
        <f>VLOOKUP(D541,Клиенты!$A$2:$D$1000,2,0)</f>
        <v/>
      </c>
      <c r="J541">
        <f>IF(AND(H541="Kaptur",I541="Окраинов Л.Г.",YEAR(B541)=2020),E541,0)</f>
        <v/>
      </c>
    </row>
    <row r="542">
      <c r="A542" s="6" t="n">
        <v>541</v>
      </c>
      <c r="B542" s="13" t="n">
        <v>43966</v>
      </c>
      <c r="C542" s="6" t="inlineStr">
        <is>
          <t>A64</t>
        </is>
      </c>
      <c r="D542" s="6" t="n">
        <v>8</v>
      </c>
      <c r="E542" s="15" t="n">
        <v>345</v>
      </c>
      <c r="F542" s="5" t="inlineStr">
        <is>
          <t>нет</t>
        </is>
      </c>
      <c r="H542">
        <f>VLOOKUP(C542,Автомобили!$A$2:$G$1000,3,0)</f>
        <v/>
      </c>
      <c r="I542">
        <f>VLOOKUP(D542,Клиенты!$A$2:$D$1000,2,0)</f>
        <v/>
      </c>
      <c r="J542">
        <f>IF(AND(H542="Kaptur",I542="Окраинов Л.Г.",YEAR(B542)=2020),E542,0)</f>
        <v/>
      </c>
    </row>
    <row r="543">
      <c r="A543" s="6" t="n">
        <v>542</v>
      </c>
      <c r="B543" s="13" t="n">
        <v>43966</v>
      </c>
      <c r="C543" s="6" t="inlineStr">
        <is>
          <t>A19</t>
        </is>
      </c>
      <c r="D543" s="6" t="n">
        <v>9</v>
      </c>
      <c r="E543" s="15" t="n">
        <v>377</v>
      </c>
      <c r="F543" s="5" t="inlineStr">
        <is>
          <t>нет</t>
        </is>
      </c>
      <c r="H543">
        <f>VLOOKUP(C543,Автомобили!$A$2:$G$1000,3,0)</f>
        <v/>
      </c>
      <c r="I543">
        <f>VLOOKUP(D543,Клиенты!$A$2:$D$1000,2,0)</f>
        <v/>
      </c>
      <c r="J543">
        <f>IF(AND(H543="Kaptur",I543="Окраинов Л.Г.",YEAR(B543)=2020),E543,0)</f>
        <v/>
      </c>
    </row>
    <row r="544">
      <c r="A544" s="6" t="n">
        <v>543</v>
      </c>
      <c r="B544" s="13" t="n">
        <v>43966</v>
      </c>
      <c r="C544" s="6" t="inlineStr">
        <is>
          <t>A20</t>
        </is>
      </c>
      <c r="D544" s="6" t="n">
        <v>6</v>
      </c>
      <c r="E544" s="15" t="n">
        <v>331</v>
      </c>
      <c r="F544" s="5" t="inlineStr">
        <is>
          <t>нет</t>
        </is>
      </c>
      <c r="H544">
        <f>VLOOKUP(C544,Автомобили!$A$2:$G$1000,3,0)</f>
        <v/>
      </c>
      <c r="I544">
        <f>VLOOKUP(D544,Клиенты!$A$2:$D$1000,2,0)</f>
        <v/>
      </c>
      <c r="J544">
        <f>IF(AND(H544="Kaptur",I544="Окраинов Л.Г.",YEAR(B544)=2020),E544,0)</f>
        <v/>
      </c>
    </row>
    <row r="545">
      <c r="A545" s="6" t="n">
        <v>544</v>
      </c>
      <c r="B545" s="13" t="n">
        <v>43966</v>
      </c>
      <c r="C545" s="6" t="inlineStr">
        <is>
          <t>A41</t>
        </is>
      </c>
      <c r="D545" s="6" t="n">
        <v>10</v>
      </c>
      <c r="E545" s="15" t="n">
        <v>422</v>
      </c>
      <c r="F545" s="5" t="inlineStr">
        <is>
          <t>нет</t>
        </is>
      </c>
      <c r="H545">
        <f>VLOOKUP(C545,Автомобили!$A$2:$G$1000,3,0)</f>
        <v/>
      </c>
      <c r="I545">
        <f>VLOOKUP(D545,Клиенты!$A$2:$D$1000,2,0)</f>
        <v/>
      </c>
      <c r="J545">
        <f>IF(AND(H545="Kaptur",I545="Окраинов Л.Г.",YEAR(B545)=2020),E545,0)</f>
        <v/>
      </c>
    </row>
    <row r="546">
      <c r="A546" s="6" t="n">
        <v>545</v>
      </c>
      <c r="B546" s="13" t="n">
        <v>43967</v>
      </c>
      <c r="C546" s="6" t="inlineStr">
        <is>
          <t>A55</t>
        </is>
      </c>
      <c r="D546" s="6" t="n">
        <v>5</v>
      </c>
      <c r="E546" s="15" t="n">
        <v>171</v>
      </c>
      <c r="F546" s="5" t="inlineStr">
        <is>
          <t>нет</t>
        </is>
      </c>
      <c r="H546">
        <f>VLOOKUP(C546,Автомобили!$A$2:$G$1000,3,0)</f>
        <v/>
      </c>
      <c r="I546">
        <f>VLOOKUP(D546,Клиенты!$A$2:$D$1000,2,0)</f>
        <v/>
      </c>
      <c r="J546">
        <f>IF(AND(H546="Kaptur",I546="Окраинов Л.Г.",YEAR(B546)=2020),E546,0)</f>
        <v/>
      </c>
    </row>
    <row r="547">
      <c r="A547" s="6" t="n">
        <v>546</v>
      </c>
      <c r="B547" s="13" t="n">
        <v>43967</v>
      </c>
      <c r="C547" s="6" t="inlineStr">
        <is>
          <t>A27</t>
        </is>
      </c>
      <c r="D547" s="6" t="n">
        <v>5</v>
      </c>
      <c r="E547" s="15" t="n">
        <v>130</v>
      </c>
      <c r="F547" s="5" t="inlineStr">
        <is>
          <t>нет</t>
        </is>
      </c>
      <c r="H547">
        <f>VLOOKUP(C547,Автомобили!$A$2:$G$1000,3,0)</f>
        <v/>
      </c>
      <c r="I547">
        <f>VLOOKUP(D547,Клиенты!$A$2:$D$1000,2,0)</f>
        <v/>
      </c>
      <c r="J547">
        <f>IF(AND(H547="Kaptur",I547="Окраинов Л.Г.",YEAR(B547)=2020),E547,0)</f>
        <v/>
      </c>
    </row>
    <row r="548">
      <c r="A548" s="6" t="n">
        <v>547</v>
      </c>
      <c r="B548" s="13" t="n">
        <v>43967</v>
      </c>
      <c r="C548" s="6" t="inlineStr">
        <is>
          <t>A24</t>
        </is>
      </c>
      <c r="D548" s="6" t="n">
        <v>15</v>
      </c>
      <c r="E548" s="15" t="n">
        <v>246</v>
      </c>
      <c r="F548" s="5" t="inlineStr">
        <is>
          <t>нет</t>
        </is>
      </c>
      <c r="H548">
        <f>VLOOKUP(C548,Автомобили!$A$2:$G$1000,3,0)</f>
        <v/>
      </c>
      <c r="I548">
        <f>VLOOKUP(D548,Клиенты!$A$2:$D$1000,2,0)</f>
        <v/>
      </c>
      <c r="J548">
        <f>IF(AND(H548="Kaptur",I548="Окраинов Л.Г.",YEAR(B548)=2020),E548,0)</f>
        <v/>
      </c>
    </row>
    <row r="549">
      <c r="A549" s="6" t="n">
        <v>548</v>
      </c>
      <c r="B549" s="13" t="n">
        <v>43967</v>
      </c>
      <c r="C549" s="6" t="inlineStr">
        <is>
          <t>A20</t>
        </is>
      </c>
      <c r="D549" s="6" t="n">
        <v>4</v>
      </c>
      <c r="E549" s="15" t="n">
        <v>267</v>
      </c>
      <c r="F549" s="5" t="inlineStr">
        <is>
          <t>нет</t>
        </is>
      </c>
      <c r="H549">
        <f>VLOOKUP(C549,Автомобили!$A$2:$G$1000,3,0)</f>
        <v/>
      </c>
      <c r="I549">
        <f>VLOOKUP(D549,Клиенты!$A$2:$D$1000,2,0)</f>
        <v/>
      </c>
      <c r="J549">
        <f>IF(AND(H549="Kaptur",I549="Окраинов Л.Г.",YEAR(B549)=2020),E549,0)</f>
        <v/>
      </c>
    </row>
    <row r="550">
      <c r="A550" s="6" t="n">
        <v>549</v>
      </c>
      <c r="B550" s="13" t="n">
        <v>43968</v>
      </c>
      <c r="C550" s="6" t="inlineStr">
        <is>
          <t>A15</t>
        </is>
      </c>
      <c r="D550" s="6" t="n">
        <v>1</v>
      </c>
      <c r="E550" s="15" t="n">
        <v>332</v>
      </c>
      <c r="F550" s="5" t="inlineStr">
        <is>
          <t>нет</t>
        </is>
      </c>
      <c r="H550">
        <f>VLOOKUP(C550,Автомобили!$A$2:$G$1000,3,0)</f>
        <v/>
      </c>
      <c r="I550">
        <f>VLOOKUP(D550,Клиенты!$A$2:$D$1000,2,0)</f>
        <v/>
      </c>
      <c r="J550">
        <f>IF(AND(H550="Kaptur",I550="Окраинов Л.Г.",YEAR(B550)=2020),E550,0)</f>
        <v/>
      </c>
    </row>
    <row r="551">
      <c r="A551" s="6" t="n">
        <v>550</v>
      </c>
      <c r="B551" s="13" t="n">
        <v>43968</v>
      </c>
      <c r="C551" s="6" t="inlineStr">
        <is>
          <t>A39</t>
        </is>
      </c>
      <c r="D551" s="6" t="n">
        <v>10</v>
      </c>
      <c r="E551" s="15" t="n">
        <v>223</v>
      </c>
      <c r="F551" s="5" t="inlineStr">
        <is>
          <t>нет</t>
        </is>
      </c>
      <c r="H551">
        <f>VLOOKUP(C551,Автомобили!$A$2:$G$1000,3,0)</f>
        <v/>
      </c>
      <c r="I551">
        <f>VLOOKUP(D551,Клиенты!$A$2:$D$1000,2,0)</f>
        <v/>
      </c>
      <c r="J551">
        <f>IF(AND(H551="Kaptur",I551="Окраинов Л.Г.",YEAR(B551)=2020),E551,0)</f>
        <v/>
      </c>
    </row>
    <row r="552">
      <c r="A552" s="6" t="n">
        <v>551</v>
      </c>
      <c r="B552" s="13" t="n">
        <v>43968</v>
      </c>
      <c r="C552" s="6" t="inlineStr">
        <is>
          <t>A13</t>
        </is>
      </c>
      <c r="D552" s="6" t="n">
        <v>12</v>
      </c>
      <c r="E552" s="15" t="n">
        <v>400</v>
      </c>
      <c r="F552" s="5" t="inlineStr">
        <is>
          <t>нет</t>
        </is>
      </c>
      <c r="H552">
        <f>VLOOKUP(C552,Автомобили!$A$2:$G$1000,3,0)</f>
        <v/>
      </c>
      <c r="I552">
        <f>VLOOKUP(D552,Клиенты!$A$2:$D$1000,2,0)</f>
        <v/>
      </c>
      <c r="J552">
        <f>IF(AND(H552="Kaptur",I552="Окраинов Л.Г.",YEAR(B552)=2020),E552,0)</f>
        <v/>
      </c>
    </row>
    <row r="553">
      <c r="A553" s="6" t="n">
        <v>552</v>
      </c>
      <c r="B553" s="13" t="n">
        <v>43968</v>
      </c>
      <c r="C553" s="6" t="inlineStr">
        <is>
          <t>A32</t>
        </is>
      </c>
      <c r="D553" s="6" t="n">
        <v>3</v>
      </c>
      <c r="E553" s="15" t="n">
        <v>95</v>
      </c>
      <c r="F553" s="5" t="inlineStr">
        <is>
          <t>нет</t>
        </is>
      </c>
      <c r="H553">
        <f>VLOOKUP(C553,Автомобили!$A$2:$G$1000,3,0)</f>
        <v/>
      </c>
      <c r="I553">
        <f>VLOOKUP(D553,Клиенты!$A$2:$D$1000,2,0)</f>
        <v/>
      </c>
      <c r="J553">
        <f>IF(AND(H553="Kaptur",I553="Окраинов Л.Г.",YEAR(B553)=2020),E553,0)</f>
        <v/>
      </c>
    </row>
    <row r="554">
      <c r="A554" s="6" t="n">
        <v>553</v>
      </c>
      <c r="B554" s="13" t="n">
        <v>43969</v>
      </c>
      <c r="C554" s="6" t="inlineStr">
        <is>
          <t>A32</t>
        </is>
      </c>
      <c r="D554" s="6" t="n">
        <v>2</v>
      </c>
      <c r="E554" s="15" t="n">
        <v>448</v>
      </c>
      <c r="F554" s="5" t="inlineStr">
        <is>
          <t>нет</t>
        </is>
      </c>
      <c r="H554">
        <f>VLOOKUP(C554,Автомобили!$A$2:$G$1000,3,0)</f>
        <v/>
      </c>
      <c r="I554">
        <f>VLOOKUP(D554,Клиенты!$A$2:$D$1000,2,0)</f>
        <v/>
      </c>
      <c r="J554">
        <f>IF(AND(H554="Kaptur",I554="Окраинов Л.Г.",YEAR(B554)=2020),E554,0)</f>
        <v/>
      </c>
    </row>
    <row r="555">
      <c r="A555" s="6" t="n">
        <v>554</v>
      </c>
      <c r="B555" s="13" t="n">
        <v>43969</v>
      </c>
      <c r="C555" s="6" t="inlineStr">
        <is>
          <t>A38</t>
        </is>
      </c>
      <c r="D555" s="6" t="n">
        <v>5</v>
      </c>
      <c r="E555" s="15" t="n">
        <v>70</v>
      </c>
      <c r="F555" s="5" t="inlineStr">
        <is>
          <t>нет</t>
        </is>
      </c>
      <c r="H555">
        <f>VLOOKUP(C555,Автомобили!$A$2:$G$1000,3,0)</f>
        <v/>
      </c>
      <c r="I555">
        <f>VLOOKUP(D555,Клиенты!$A$2:$D$1000,2,0)</f>
        <v/>
      </c>
      <c r="J555">
        <f>IF(AND(H555="Kaptur",I555="Окраинов Л.Г.",YEAR(B555)=2020),E555,0)</f>
        <v/>
      </c>
    </row>
    <row r="556">
      <c r="A556" s="6" t="n">
        <v>555</v>
      </c>
      <c r="B556" s="13" t="n">
        <v>43969</v>
      </c>
      <c r="C556" s="6" t="inlineStr">
        <is>
          <t>A4</t>
        </is>
      </c>
      <c r="D556" s="6" t="n">
        <v>11</v>
      </c>
      <c r="E556" s="15" t="n">
        <v>251</v>
      </c>
      <c r="F556" s="5" t="inlineStr">
        <is>
          <t>нет</t>
        </is>
      </c>
      <c r="H556">
        <f>VLOOKUP(C556,Автомобили!$A$2:$G$1000,3,0)</f>
        <v/>
      </c>
      <c r="I556">
        <f>VLOOKUP(D556,Клиенты!$A$2:$D$1000,2,0)</f>
        <v/>
      </c>
      <c r="J556">
        <f>IF(AND(H556="Kaptur",I556="Окраинов Л.Г.",YEAR(B556)=2020),E556,0)</f>
        <v/>
      </c>
    </row>
    <row r="557">
      <c r="A557" s="6" t="n">
        <v>556</v>
      </c>
      <c r="B557" s="13" t="n">
        <v>43969</v>
      </c>
      <c r="C557" s="6" t="inlineStr">
        <is>
          <t>A7</t>
        </is>
      </c>
      <c r="D557" s="6" t="n">
        <v>2</v>
      </c>
      <c r="E557" s="15" t="n">
        <v>116</v>
      </c>
      <c r="F557" s="5" t="inlineStr">
        <is>
          <t>нет</t>
        </is>
      </c>
      <c r="H557">
        <f>VLOOKUP(C557,Автомобили!$A$2:$G$1000,3,0)</f>
        <v/>
      </c>
      <c r="I557">
        <f>VLOOKUP(D557,Клиенты!$A$2:$D$1000,2,0)</f>
        <v/>
      </c>
      <c r="J557">
        <f>IF(AND(H557="Kaptur",I557="Окраинов Л.Г.",YEAR(B557)=2020),E557,0)</f>
        <v/>
      </c>
    </row>
    <row r="558">
      <c r="A558" s="6" t="n">
        <v>557</v>
      </c>
      <c r="B558" s="13" t="n">
        <v>43970</v>
      </c>
      <c r="C558" s="6" t="inlineStr">
        <is>
          <t>A23</t>
        </is>
      </c>
      <c r="D558" s="6" t="n">
        <v>11</v>
      </c>
      <c r="E558" s="15" t="n">
        <v>411</v>
      </c>
      <c r="F558" s="5" t="inlineStr">
        <is>
          <t>нет</t>
        </is>
      </c>
      <c r="H558">
        <f>VLOOKUP(C558,Автомобили!$A$2:$G$1000,3,0)</f>
        <v/>
      </c>
      <c r="I558">
        <f>VLOOKUP(D558,Клиенты!$A$2:$D$1000,2,0)</f>
        <v/>
      </c>
      <c r="J558">
        <f>IF(AND(H558="Kaptur",I558="Окраинов Л.Г.",YEAR(B558)=2020),E558,0)</f>
        <v/>
      </c>
    </row>
    <row r="559">
      <c r="A559" s="6" t="n">
        <v>558</v>
      </c>
      <c r="B559" s="13" t="n">
        <v>43970</v>
      </c>
      <c r="C559" s="6" t="inlineStr">
        <is>
          <t>A55</t>
        </is>
      </c>
      <c r="D559" s="6" t="n">
        <v>7</v>
      </c>
      <c r="E559" s="15" t="n">
        <v>385</v>
      </c>
      <c r="F559" s="5" t="inlineStr">
        <is>
          <t>нет</t>
        </is>
      </c>
      <c r="H559">
        <f>VLOOKUP(C559,Автомобили!$A$2:$G$1000,3,0)</f>
        <v/>
      </c>
      <c r="I559">
        <f>VLOOKUP(D559,Клиенты!$A$2:$D$1000,2,0)</f>
        <v/>
      </c>
      <c r="J559">
        <f>IF(AND(H559="Kaptur",I559="Окраинов Л.Г.",YEAR(B559)=2020),E559,0)</f>
        <v/>
      </c>
    </row>
    <row r="560">
      <c r="A560" s="6" t="n">
        <v>559</v>
      </c>
      <c r="B560" s="13" t="n">
        <v>43970</v>
      </c>
      <c r="C560" s="6" t="inlineStr">
        <is>
          <t>A37</t>
        </is>
      </c>
      <c r="D560" s="6" t="n">
        <v>3</v>
      </c>
      <c r="E560" s="15" t="n">
        <v>418</v>
      </c>
      <c r="F560" s="5" t="inlineStr">
        <is>
          <t>нет</t>
        </is>
      </c>
      <c r="H560">
        <f>VLOOKUP(C560,Автомобили!$A$2:$G$1000,3,0)</f>
        <v/>
      </c>
      <c r="I560">
        <f>VLOOKUP(D560,Клиенты!$A$2:$D$1000,2,0)</f>
        <v/>
      </c>
      <c r="J560">
        <f>IF(AND(H560="Kaptur",I560="Окраинов Л.Г.",YEAR(B560)=2020),E560,0)</f>
        <v/>
      </c>
    </row>
    <row r="561">
      <c r="A561" s="6" t="n">
        <v>560</v>
      </c>
      <c r="B561" s="13" t="n">
        <v>43970</v>
      </c>
      <c r="C561" s="6" t="inlineStr">
        <is>
          <t>A48</t>
        </is>
      </c>
      <c r="D561" s="6" t="n">
        <v>8</v>
      </c>
      <c r="E561" s="15" t="n">
        <v>329</v>
      </c>
      <c r="F561" s="5" t="inlineStr">
        <is>
          <t>нет</t>
        </is>
      </c>
      <c r="H561">
        <f>VLOOKUP(C561,Автомобили!$A$2:$G$1000,3,0)</f>
        <v/>
      </c>
      <c r="I561">
        <f>VLOOKUP(D561,Клиенты!$A$2:$D$1000,2,0)</f>
        <v/>
      </c>
      <c r="J561">
        <f>IF(AND(H561="Kaptur",I561="Окраинов Л.Г.",YEAR(B561)=2020),E561,0)</f>
        <v/>
      </c>
    </row>
    <row r="562">
      <c r="A562" s="6" t="n">
        <v>561</v>
      </c>
      <c r="B562" s="13" t="n">
        <v>43971</v>
      </c>
      <c r="C562" s="6" t="inlineStr">
        <is>
          <t>A2</t>
        </is>
      </c>
      <c r="D562" s="6" t="n">
        <v>11</v>
      </c>
      <c r="E562" s="15" t="n">
        <v>367</v>
      </c>
      <c r="F562" s="5" t="inlineStr">
        <is>
          <t>нет</t>
        </is>
      </c>
      <c r="H562">
        <f>VLOOKUP(C562,Автомобили!$A$2:$G$1000,3,0)</f>
        <v/>
      </c>
      <c r="I562">
        <f>VLOOKUP(D562,Клиенты!$A$2:$D$1000,2,0)</f>
        <v/>
      </c>
      <c r="J562">
        <f>IF(AND(H562="Kaptur",I562="Окраинов Л.Г.",YEAR(B562)=2020),E562,0)</f>
        <v/>
      </c>
    </row>
    <row r="563">
      <c r="A563" s="6" t="n">
        <v>562</v>
      </c>
      <c r="B563" s="13" t="n">
        <v>43971</v>
      </c>
      <c r="C563" s="6" t="inlineStr">
        <is>
          <t>A49</t>
        </is>
      </c>
      <c r="D563" s="6" t="n">
        <v>9</v>
      </c>
      <c r="E563" s="15" t="n">
        <v>398</v>
      </c>
      <c r="F563" s="5" t="inlineStr">
        <is>
          <t>нет</t>
        </is>
      </c>
      <c r="H563">
        <f>VLOOKUP(C563,Автомобили!$A$2:$G$1000,3,0)</f>
        <v/>
      </c>
      <c r="I563">
        <f>VLOOKUP(D563,Клиенты!$A$2:$D$1000,2,0)</f>
        <v/>
      </c>
      <c r="J563">
        <f>IF(AND(H563="Kaptur",I563="Окраинов Л.Г.",YEAR(B563)=2020),E563,0)</f>
        <v/>
      </c>
    </row>
    <row r="564">
      <c r="A564" s="6" t="n">
        <v>563</v>
      </c>
      <c r="B564" s="13" t="n">
        <v>43971</v>
      </c>
      <c r="C564" s="6" t="inlineStr">
        <is>
          <t>A2</t>
        </is>
      </c>
      <c r="D564" s="6" t="n">
        <v>1</v>
      </c>
      <c r="E564" s="15" t="n">
        <v>344</v>
      </c>
      <c r="F564" s="5" t="inlineStr">
        <is>
          <t>нет</t>
        </is>
      </c>
      <c r="H564">
        <f>VLOOKUP(C564,Автомобили!$A$2:$G$1000,3,0)</f>
        <v/>
      </c>
      <c r="I564">
        <f>VLOOKUP(D564,Клиенты!$A$2:$D$1000,2,0)</f>
        <v/>
      </c>
      <c r="J564">
        <f>IF(AND(H564="Kaptur",I564="Окраинов Л.Г.",YEAR(B564)=2020),E564,0)</f>
        <v/>
      </c>
    </row>
    <row r="565">
      <c r="A565" s="6" t="n">
        <v>564</v>
      </c>
      <c r="B565" s="13" t="n">
        <v>43971</v>
      </c>
      <c r="C565" s="6" t="inlineStr">
        <is>
          <t>A63</t>
        </is>
      </c>
      <c r="D565" s="6" t="n">
        <v>5</v>
      </c>
      <c r="E565" s="15" t="n">
        <v>449</v>
      </c>
      <c r="F565" s="5" t="inlineStr">
        <is>
          <t>нет</t>
        </is>
      </c>
      <c r="H565">
        <f>VLOOKUP(C565,Автомобили!$A$2:$G$1000,3,0)</f>
        <v/>
      </c>
      <c r="I565">
        <f>VLOOKUP(D565,Клиенты!$A$2:$D$1000,2,0)</f>
        <v/>
      </c>
      <c r="J565">
        <f>IF(AND(H565="Kaptur",I565="Окраинов Л.Г.",YEAR(B565)=2020),E565,0)</f>
        <v/>
      </c>
    </row>
    <row r="566">
      <c r="A566" s="6" t="n">
        <v>565</v>
      </c>
      <c r="B566" s="13" t="n">
        <v>43972</v>
      </c>
      <c r="C566" s="6" t="inlineStr">
        <is>
          <t>A9</t>
        </is>
      </c>
      <c r="D566" s="6" t="n">
        <v>8</v>
      </c>
      <c r="E566" s="15" t="n">
        <v>139</v>
      </c>
      <c r="F566" s="5" t="inlineStr">
        <is>
          <t>нет</t>
        </is>
      </c>
      <c r="H566">
        <f>VLOOKUP(C566,Автомобили!$A$2:$G$1000,3,0)</f>
        <v/>
      </c>
      <c r="I566">
        <f>VLOOKUP(D566,Клиенты!$A$2:$D$1000,2,0)</f>
        <v/>
      </c>
      <c r="J566">
        <f>IF(AND(H566="Kaptur",I566="Окраинов Л.Г.",YEAR(B566)=2020),E566,0)</f>
        <v/>
      </c>
    </row>
    <row r="567">
      <c r="A567" s="6" t="n">
        <v>566</v>
      </c>
      <c r="B567" s="13" t="n">
        <v>43972</v>
      </c>
      <c r="C567" s="6" t="inlineStr">
        <is>
          <t>A36</t>
        </is>
      </c>
      <c r="D567" s="6" t="n">
        <v>2</v>
      </c>
      <c r="E567" s="15" t="n">
        <v>284</v>
      </c>
      <c r="F567" s="5" t="inlineStr">
        <is>
          <t>нет</t>
        </is>
      </c>
      <c r="H567">
        <f>VLOOKUP(C567,Автомобили!$A$2:$G$1000,3,0)</f>
        <v/>
      </c>
      <c r="I567">
        <f>VLOOKUP(D567,Клиенты!$A$2:$D$1000,2,0)</f>
        <v/>
      </c>
      <c r="J567">
        <f>IF(AND(H567="Kaptur",I567="Окраинов Л.Г.",YEAR(B567)=2020),E567,0)</f>
        <v/>
      </c>
    </row>
    <row r="568">
      <c r="A568" s="6" t="n">
        <v>567</v>
      </c>
      <c r="B568" s="13" t="n">
        <v>43972</v>
      </c>
      <c r="C568" s="6" t="inlineStr">
        <is>
          <t>A10</t>
        </is>
      </c>
      <c r="D568" s="6" t="n">
        <v>1</v>
      </c>
      <c r="E568" s="15" t="n">
        <v>241</v>
      </c>
      <c r="F568" s="5" t="inlineStr">
        <is>
          <t>нет</t>
        </is>
      </c>
      <c r="H568">
        <f>VLOOKUP(C568,Автомобили!$A$2:$G$1000,3,0)</f>
        <v/>
      </c>
      <c r="I568">
        <f>VLOOKUP(D568,Клиенты!$A$2:$D$1000,2,0)</f>
        <v/>
      </c>
      <c r="J568">
        <f>IF(AND(H568="Kaptur",I568="Окраинов Л.Г.",YEAR(B568)=2020),E568,0)</f>
        <v/>
      </c>
    </row>
    <row r="569">
      <c r="A569" s="6" t="n">
        <v>568</v>
      </c>
      <c r="B569" s="13" t="n">
        <v>43972</v>
      </c>
      <c r="C569" s="6" t="inlineStr">
        <is>
          <t>A59</t>
        </is>
      </c>
      <c r="D569" s="6" t="n">
        <v>2</v>
      </c>
      <c r="E569" s="15" t="n">
        <v>183</v>
      </c>
      <c r="F569" s="5" t="inlineStr">
        <is>
          <t>нет</t>
        </is>
      </c>
      <c r="H569">
        <f>VLOOKUP(C569,Автомобили!$A$2:$G$1000,3,0)</f>
        <v/>
      </c>
      <c r="I569">
        <f>VLOOKUP(D569,Клиенты!$A$2:$D$1000,2,0)</f>
        <v/>
      </c>
      <c r="J569">
        <f>IF(AND(H569="Kaptur",I569="Окраинов Л.Г.",YEAR(B569)=2020),E569,0)</f>
        <v/>
      </c>
    </row>
    <row r="570">
      <c r="A570" s="6" t="n">
        <v>569</v>
      </c>
      <c r="B570" s="13" t="n">
        <v>43973</v>
      </c>
      <c r="C570" s="6" t="inlineStr">
        <is>
          <t>A26</t>
        </is>
      </c>
      <c r="D570" s="6" t="n">
        <v>6</v>
      </c>
      <c r="E570" s="15" t="n">
        <v>384</v>
      </c>
      <c r="F570" s="5" t="inlineStr">
        <is>
          <t>нет</t>
        </is>
      </c>
      <c r="H570">
        <f>VLOOKUP(C570,Автомобили!$A$2:$G$1000,3,0)</f>
        <v/>
      </c>
      <c r="I570">
        <f>VLOOKUP(D570,Клиенты!$A$2:$D$1000,2,0)</f>
        <v/>
      </c>
      <c r="J570">
        <f>IF(AND(H570="Kaptur",I570="Окраинов Л.Г.",YEAR(B570)=2020),E570,0)</f>
        <v/>
      </c>
    </row>
    <row r="571">
      <c r="A571" s="6" t="n">
        <v>570</v>
      </c>
      <c r="B571" s="13" t="n">
        <v>43973</v>
      </c>
      <c r="C571" s="6" t="inlineStr">
        <is>
          <t>A16</t>
        </is>
      </c>
      <c r="D571" s="6" t="n">
        <v>8</v>
      </c>
      <c r="E571" s="15" t="n">
        <v>203</v>
      </c>
      <c r="F571" s="5" t="inlineStr">
        <is>
          <t>нет</t>
        </is>
      </c>
      <c r="H571">
        <f>VLOOKUP(C571,Автомобили!$A$2:$G$1000,3,0)</f>
        <v/>
      </c>
      <c r="I571">
        <f>VLOOKUP(D571,Клиенты!$A$2:$D$1000,2,0)</f>
        <v/>
      </c>
      <c r="J571">
        <f>IF(AND(H571="Kaptur",I571="Окраинов Л.Г.",YEAR(B571)=2020),E571,0)</f>
        <v/>
      </c>
    </row>
    <row r="572">
      <c r="A572" s="6" t="n">
        <v>571</v>
      </c>
      <c r="B572" s="13" t="n">
        <v>43973</v>
      </c>
      <c r="C572" s="6" t="inlineStr">
        <is>
          <t>A29</t>
        </is>
      </c>
      <c r="D572" s="6" t="n">
        <v>14</v>
      </c>
      <c r="E572" s="15" t="n">
        <v>208</v>
      </c>
      <c r="F572" s="5" t="inlineStr">
        <is>
          <t>нет</t>
        </is>
      </c>
      <c r="H572">
        <f>VLOOKUP(C572,Автомобили!$A$2:$G$1000,3,0)</f>
        <v/>
      </c>
      <c r="I572">
        <f>VLOOKUP(D572,Клиенты!$A$2:$D$1000,2,0)</f>
        <v/>
      </c>
      <c r="J572">
        <f>IF(AND(H572="Kaptur",I572="Окраинов Л.Г.",YEAR(B572)=2020),E572,0)</f>
        <v/>
      </c>
    </row>
    <row r="573">
      <c r="A573" s="6" t="n">
        <v>572</v>
      </c>
      <c r="B573" s="13" t="n">
        <v>43973</v>
      </c>
      <c r="C573" s="6" t="inlineStr">
        <is>
          <t>A45</t>
        </is>
      </c>
      <c r="D573" s="6" t="n">
        <v>10</v>
      </c>
      <c r="E573" s="15" t="n">
        <v>127</v>
      </c>
      <c r="F573" s="5" t="inlineStr">
        <is>
          <t>нет</t>
        </is>
      </c>
      <c r="H573">
        <f>VLOOKUP(C573,Автомобили!$A$2:$G$1000,3,0)</f>
        <v/>
      </c>
      <c r="I573">
        <f>VLOOKUP(D573,Клиенты!$A$2:$D$1000,2,0)</f>
        <v/>
      </c>
      <c r="J573">
        <f>IF(AND(H573="Kaptur",I573="Окраинов Л.Г.",YEAR(B573)=2020),E573,0)</f>
        <v/>
      </c>
    </row>
    <row r="574">
      <c r="A574" s="6" t="n">
        <v>573</v>
      </c>
      <c r="B574" s="13" t="n">
        <v>43974</v>
      </c>
      <c r="C574" s="6" t="inlineStr">
        <is>
          <t>A5</t>
        </is>
      </c>
      <c r="D574" s="6" t="n">
        <v>4</v>
      </c>
      <c r="E574" s="15" t="n">
        <v>439</v>
      </c>
      <c r="F574" s="5" t="inlineStr">
        <is>
          <t>нет</t>
        </is>
      </c>
      <c r="H574">
        <f>VLOOKUP(C574,Автомобили!$A$2:$G$1000,3,0)</f>
        <v/>
      </c>
      <c r="I574">
        <f>VLOOKUP(D574,Клиенты!$A$2:$D$1000,2,0)</f>
        <v/>
      </c>
      <c r="J574">
        <f>IF(AND(H574="Kaptur",I574="Окраинов Л.Г.",YEAR(B574)=2020),E574,0)</f>
        <v/>
      </c>
    </row>
    <row r="575">
      <c r="A575" s="6" t="n">
        <v>574</v>
      </c>
      <c r="B575" s="13" t="n">
        <v>43974</v>
      </c>
      <c r="C575" s="6" t="inlineStr">
        <is>
          <t>A49</t>
        </is>
      </c>
      <c r="D575" s="6" t="n">
        <v>13</v>
      </c>
      <c r="E575" s="15" t="n">
        <v>77</v>
      </c>
      <c r="F575" s="5" t="inlineStr">
        <is>
          <t>нет</t>
        </is>
      </c>
      <c r="H575">
        <f>VLOOKUP(C575,Автомобили!$A$2:$G$1000,3,0)</f>
        <v/>
      </c>
      <c r="I575">
        <f>VLOOKUP(D575,Клиенты!$A$2:$D$1000,2,0)</f>
        <v/>
      </c>
      <c r="J575">
        <f>IF(AND(H575="Kaptur",I575="Окраинов Л.Г.",YEAR(B575)=2020),E575,0)</f>
        <v/>
      </c>
    </row>
    <row r="576">
      <c r="A576" s="6" t="n">
        <v>575</v>
      </c>
      <c r="B576" s="13" t="n">
        <v>43974</v>
      </c>
      <c r="C576" s="6" t="inlineStr">
        <is>
          <t>A9</t>
        </is>
      </c>
      <c r="D576" s="6" t="n">
        <v>2</v>
      </c>
      <c r="E576" s="15" t="n">
        <v>72</v>
      </c>
      <c r="F576" s="5" t="inlineStr">
        <is>
          <t>нет</t>
        </is>
      </c>
      <c r="H576">
        <f>VLOOKUP(C576,Автомобили!$A$2:$G$1000,3,0)</f>
        <v/>
      </c>
      <c r="I576">
        <f>VLOOKUP(D576,Клиенты!$A$2:$D$1000,2,0)</f>
        <v/>
      </c>
      <c r="J576">
        <f>IF(AND(H576="Kaptur",I576="Окраинов Л.Г.",YEAR(B576)=2020),E576,0)</f>
        <v/>
      </c>
    </row>
    <row r="577">
      <c r="A577" s="6" t="n">
        <v>576</v>
      </c>
      <c r="B577" s="13" t="n">
        <v>43974</v>
      </c>
      <c r="C577" s="6" t="inlineStr">
        <is>
          <t>A65</t>
        </is>
      </c>
      <c r="D577" s="6" t="n">
        <v>15</v>
      </c>
      <c r="E577" s="15" t="n">
        <v>418</v>
      </c>
      <c r="F577" s="5" t="inlineStr">
        <is>
          <t>нет</t>
        </is>
      </c>
      <c r="H577">
        <f>VLOOKUP(C577,Автомобили!$A$2:$G$1000,3,0)</f>
        <v/>
      </c>
      <c r="I577">
        <f>VLOOKUP(D577,Клиенты!$A$2:$D$1000,2,0)</f>
        <v/>
      </c>
      <c r="J577">
        <f>IF(AND(H577="Kaptur",I577="Окраинов Л.Г.",YEAR(B577)=2020),E577,0)</f>
        <v/>
      </c>
    </row>
    <row r="578">
      <c r="A578" s="6" t="n">
        <v>577</v>
      </c>
      <c r="B578" s="13" t="n">
        <v>43975</v>
      </c>
      <c r="C578" s="6" t="inlineStr">
        <is>
          <t>A29</t>
        </is>
      </c>
      <c r="D578" s="6" t="n">
        <v>12</v>
      </c>
      <c r="E578" s="15" t="n">
        <v>399</v>
      </c>
      <c r="F578" s="5" t="inlineStr">
        <is>
          <t>нет</t>
        </is>
      </c>
      <c r="H578">
        <f>VLOOKUP(C578,Автомобили!$A$2:$G$1000,3,0)</f>
        <v/>
      </c>
      <c r="I578">
        <f>VLOOKUP(D578,Клиенты!$A$2:$D$1000,2,0)</f>
        <v/>
      </c>
      <c r="J578">
        <f>IF(AND(H578="Kaptur",I578="Окраинов Л.Г.",YEAR(B578)=2020),E578,0)</f>
        <v/>
      </c>
    </row>
    <row r="579">
      <c r="A579" s="6" t="n">
        <v>578</v>
      </c>
      <c r="B579" s="13" t="n">
        <v>43975</v>
      </c>
      <c r="C579" s="6" t="inlineStr">
        <is>
          <t>A14</t>
        </is>
      </c>
      <c r="D579" s="6" t="n">
        <v>13</v>
      </c>
      <c r="E579" s="15" t="n">
        <v>70</v>
      </c>
      <c r="F579" s="5" t="inlineStr">
        <is>
          <t>нет</t>
        </is>
      </c>
      <c r="H579">
        <f>VLOOKUP(C579,Автомобили!$A$2:$G$1000,3,0)</f>
        <v/>
      </c>
      <c r="I579">
        <f>VLOOKUP(D579,Клиенты!$A$2:$D$1000,2,0)</f>
        <v/>
      </c>
      <c r="J579">
        <f>IF(AND(H579="Kaptur",I579="Окраинов Л.Г.",YEAR(B579)=2020),E579,0)</f>
        <v/>
      </c>
    </row>
    <row r="580">
      <c r="A580" s="6" t="n">
        <v>579</v>
      </c>
      <c r="B580" s="13" t="n">
        <v>43975</v>
      </c>
      <c r="C580" s="6" t="inlineStr">
        <is>
          <t>A51</t>
        </is>
      </c>
      <c r="D580" s="6" t="n">
        <v>7</v>
      </c>
      <c r="E580" s="15" t="n">
        <v>360</v>
      </c>
      <c r="F580" s="5" t="inlineStr">
        <is>
          <t>нет</t>
        </is>
      </c>
      <c r="H580">
        <f>VLOOKUP(C580,Автомобили!$A$2:$G$1000,3,0)</f>
        <v/>
      </c>
      <c r="I580">
        <f>VLOOKUP(D580,Клиенты!$A$2:$D$1000,2,0)</f>
        <v/>
      </c>
      <c r="J580">
        <f>IF(AND(H580="Kaptur",I580="Окраинов Л.Г.",YEAR(B580)=2020),E580,0)</f>
        <v/>
      </c>
    </row>
    <row r="581">
      <c r="A581" s="6" t="n">
        <v>580</v>
      </c>
      <c r="B581" s="13" t="n">
        <v>43975</v>
      </c>
      <c r="C581" s="6" t="inlineStr">
        <is>
          <t>A12</t>
        </is>
      </c>
      <c r="D581" s="6" t="n">
        <v>8</v>
      </c>
      <c r="E581" s="15" t="n">
        <v>90</v>
      </c>
      <c r="F581" s="5" t="inlineStr">
        <is>
          <t>нет</t>
        </is>
      </c>
      <c r="H581">
        <f>VLOOKUP(C581,Автомобили!$A$2:$G$1000,3,0)</f>
        <v/>
      </c>
      <c r="I581">
        <f>VLOOKUP(D581,Клиенты!$A$2:$D$1000,2,0)</f>
        <v/>
      </c>
      <c r="J581">
        <f>IF(AND(H581="Kaptur",I581="Окраинов Л.Г.",YEAR(B581)=2020),E581,0)</f>
        <v/>
      </c>
    </row>
    <row r="582">
      <c r="A582" s="6" t="n">
        <v>581</v>
      </c>
      <c r="B582" s="13" t="n">
        <v>43976</v>
      </c>
      <c r="C582" s="6" t="inlineStr">
        <is>
          <t>A53</t>
        </is>
      </c>
      <c r="D582" s="6" t="n">
        <v>8</v>
      </c>
      <c r="E582" s="15" t="n">
        <v>152</v>
      </c>
      <c r="F582" s="5" t="inlineStr">
        <is>
          <t>нет</t>
        </is>
      </c>
      <c r="H582">
        <f>VLOOKUP(C582,Автомобили!$A$2:$G$1000,3,0)</f>
        <v/>
      </c>
      <c r="I582">
        <f>VLOOKUP(D582,Клиенты!$A$2:$D$1000,2,0)</f>
        <v/>
      </c>
      <c r="J582">
        <f>IF(AND(H582="Kaptur",I582="Окраинов Л.Г.",YEAR(B582)=2020),E582,0)</f>
        <v/>
      </c>
    </row>
    <row r="583">
      <c r="A583" s="6" t="n">
        <v>582</v>
      </c>
      <c r="B583" s="13" t="n">
        <v>43976</v>
      </c>
      <c r="C583" s="6" t="inlineStr">
        <is>
          <t>A47</t>
        </is>
      </c>
      <c r="D583" s="6" t="n">
        <v>11</v>
      </c>
      <c r="E583" s="15" t="n">
        <v>204</v>
      </c>
      <c r="F583" s="5" t="inlineStr">
        <is>
          <t>нет</t>
        </is>
      </c>
      <c r="H583">
        <f>VLOOKUP(C583,Автомобили!$A$2:$G$1000,3,0)</f>
        <v/>
      </c>
      <c r="I583">
        <f>VLOOKUP(D583,Клиенты!$A$2:$D$1000,2,0)</f>
        <v/>
      </c>
      <c r="J583">
        <f>IF(AND(H583="Kaptur",I583="Окраинов Л.Г.",YEAR(B583)=2020),E583,0)</f>
        <v/>
      </c>
    </row>
    <row r="584">
      <c r="A584" s="6" t="n">
        <v>583</v>
      </c>
      <c r="B584" s="13" t="n">
        <v>43976</v>
      </c>
      <c r="C584" s="6" t="inlineStr">
        <is>
          <t>A7</t>
        </is>
      </c>
      <c r="D584" s="6" t="n">
        <v>10</v>
      </c>
      <c r="E584" s="15" t="n">
        <v>125</v>
      </c>
      <c r="F584" s="5" t="inlineStr">
        <is>
          <t>нет</t>
        </is>
      </c>
      <c r="H584">
        <f>VLOOKUP(C584,Автомобили!$A$2:$G$1000,3,0)</f>
        <v/>
      </c>
      <c r="I584">
        <f>VLOOKUP(D584,Клиенты!$A$2:$D$1000,2,0)</f>
        <v/>
      </c>
      <c r="J584">
        <f>IF(AND(H584="Kaptur",I584="Окраинов Л.Г.",YEAR(B584)=2020),E584,0)</f>
        <v/>
      </c>
    </row>
    <row r="585">
      <c r="A585" s="6" t="n">
        <v>584</v>
      </c>
      <c r="B585" s="13" t="n">
        <v>43976</v>
      </c>
      <c r="C585" s="6" t="inlineStr">
        <is>
          <t>A4</t>
        </is>
      </c>
      <c r="D585" s="6" t="n">
        <v>13</v>
      </c>
      <c r="E585" s="15" t="n">
        <v>340</v>
      </c>
      <c r="F585" s="5" t="inlineStr">
        <is>
          <t>нет</t>
        </is>
      </c>
      <c r="H585">
        <f>VLOOKUP(C585,Автомобили!$A$2:$G$1000,3,0)</f>
        <v/>
      </c>
      <c r="I585">
        <f>VLOOKUP(D585,Клиенты!$A$2:$D$1000,2,0)</f>
        <v/>
      </c>
      <c r="J585">
        <f>IF(AND(H585="Kaptur",I585="Окраинов Л.Г.",YEAR(B585)=2020),E585,0)</f>
        <v/>
      </c>
    </row>
    <row r="586">
      <c r="A586" s="6" t="n">
        <v>585</v>
      </c>
      <c r="B586" s="13" t="n">
        <v>43977</v>
      </c>
      <c r="C586" s="6" t="inlineStr">
        <is>
          <t>A12</t>
        </is>
      </c>
      <c r="D586" s="6" t="n">
        <v>1</v>
      </c>
      <c r="E586" s="15" t="n">
        <v>162</v>
      </c>
      <c r="F586" s="5" t="inlineStr">
        <is>
          <t>нет</t>
        </is>
      </c>
      <c r="H586">
        <f>VLOOKUP(C586,Автомобили!$A$2:$G$1000,3,0)</f>
        <v/>
      </c>
      <c r="I586">
        <f>VLOOKUP(D586,Клиенты!$A$2:$D$1000,2,0)</f>
        <v/>
      </c>
      <c r="J586">
        <f>IF(AND(H586="Kaptur",I586="Окраинов Л.Г.",YEAR(B586)=2020),E586,0)</f>
        <v/>
      </c>
    </row>
    <row r="587">
      <c r="A587" s="6" t="n">
        <v>586</v>
      </c>
      <c r="B587" s="13" t="n">
        <v>43977</v>
      </c>
      <c r="C587" s="6" t="inlineStr">
        <is>
          <t>A24</t>
        </is>
      </c>
      <c r="D587" s="6" t="n">
        <v>2</v>
      </c>
      <c r="E587" s="15" t="n">
        <v>340</v>
      </c>
      <c r="F587" s="5" t="inlineStr">
        <is>
          <t>нет</t>
        </is>
      </c>
      <c r="G587" s="8" t="n"/>
      <c r="H587">
        <f>VLOOKUP(C587,Автомобили!$A$2:$G$1000,3,0)</f>
        <v/>
      </c>
      <c r="I587">
        <f>VLOOKUP(D587,Клиенты!$A$2:$D$1000,2,0)</f>
        <v/>
      </c>
      <c r="J587">
        <f>IF(AND(H587="Kaptur",I587="Окраинов Л.Г.",YEAR(B587)=2020),E587,0)</f>
        <v/>
      </c>
    </row>
    <row r="588">
      <c r="A588" s="6" t="n">
        <v>587</v>
      </c>
      <c r="B588" s="13" t="n">
        <v>43977</v>
      </c>
      <c r="C588" s="6" t="inlineStr">
        <is>
          <t>A8</t>
        </is>
      </c>
      <c r="D588" s="6" t="n">
        <v>12</v>
      </c>
      <c r="E588" s="15" t="n">
        <v>317</v>
      </c>
      <c r="F588" s="5" t="inlineStr">
        <is>
          <t>нет</t>
        </is>
      </c>
      <c r="G588" s="8" t="n"/>
      <c r="H588">
        <f>VLOOKUP(C588,Автомобили!$A$2:$G$1000,3,0)</f>
        <v/>
      </c>
      <c r="I588">
        <f>VLOOKUP(D588,Клиенты!$A$2:$D$1000,2,0)</f>
        <v/>
      </c>
      <c r="J588">
        <f>IF(AND(H588="Kaptur",I588="Окраинов Л.Г.",YEAR(B588)=2020),E588,0)</f>
        <v/>
      </c>
    </row>
    <row r="589">
      <c r="A589" s="6" t="n">
        <v>588</v>
      </c>
      <c r="B589" s="13" t="n">
        <v>43977</v>
      </c>
      <c r="C589" s="6" t="inlineStr">
        <is>
          <t>A51</t>
        </is>
      </c>
      <c r="D589" s="6" t="n">
        <v>3</v>
      </c>
      <c r="E589" s="15" t="n">
        <v>169</v>
      </c>
      <c r="F589" s="5" t="inlineStr">
        <is>
          <t>нет</t>
        </is>
      </c>
      <c r="G589" s="8" t="n"/>
      <c r="H589">
        <f>VLOOKUP(C589,Автомобили!$A$2:$G$1000,3,0)</f>
        <v/>
      </c>
      <c r="I589">
        <f>VLOOKUP(D589,Клиенты!$A$2:$D$1000,2,0)</f>
        <v/>
      </c>
      <c r="J589">
        <f>IF(AND(H589="Kaptur",I589="Окраинов Л.Г.",YEAR(B589)=2020),E589,0)</f>
        <v/>
      </c>
    </row>
    <row r="590">
      <c r="A590" s="6" t="n">
        <v>589</v>
      </c>
      <c r="B590" s="13" t="n">
        <v>43978</v>
      </c>
      <c r="C590" s="6" t="inlineStr">
        <is>
          <t>A16</t>
        </is>
      </c>
      <c r="D590" s="6" t="n">
        <v>7</v>
      </c>
      <c r="E590" s="15" t="n">
        <v>227</v>
      </c>
      <c r="F590" s="5" t="inlineStr">
        <is>
          <t>нет</t>
        </is>
      </c>
      <c r="G590" s="8" t="n"/>
      <c r="H590">
        <f>VLOOKUP(C590,Автомобили!$A$2:$G$1000,3,0)</f>
        <v/>
      </c>
      <c r="I590">
        <f>VLOOKUP(D590,Клиенты!$A$2:$D$1000,2,0)</f>
        <v/>
      </c>
      <c r="J590">
        <f>IF(AND(H590="Kaptur",I590="Окраинов Л.Г.",YEAR(B590)=2020),E590,0)</f>
        <v/>
      </c>
    </row>
    <row r="591">
      <c r="A591" s="6" t="n">
        <v>590</v>
      </c>
      <c r="B591" s="13" t="n">
        <v>43978</v>
      </c>
      <c r="C591" s="6" t="inlineStr">
        <is>
          <t>A43</t>
        </is>
      </c>
      <c r="D591" s="6" t="n">
        <v>15</v>
      </c>
      <c r="E591" s="15" t="n">
        <v>78</v>
      </c>
      <c r="F591" s="5" t="inlineStr">
        <is>
          <t>нет</t>
        </is>
      </c>
      <c r="G591" s="8" t="n"/>
      <c r="H591">
        <f>VLOOKUP(C591,Автомобили!$A$2:$G$1000,3,0)</f>
        <v/>
      </c>
      <c r="I591">
        <f>VLOOKUP(D591,Клиенты!$A$2:$D$1000,2,0)</f>
        <v/>
      </c>
      <c r="J591">
        <f>IF(AND(H591="Kaptur",I591="Окраинов Л.Г.",YEAR(B591)=2020),E591,0)</f>
        <v/>
      </c>
    </row>
    <row r="592">
      <c r="A592" s="6" t="n">
        <v>591</v>
      </c>
      <c r="B592" s="13" t="n">
        <v>43978</v>
      </c>
      <c r="C592" s="6" t="inlineStr">
        <is>
          <t>A34</t>
        </is>
      </c>
      <c r="D592" s="6" t="n">
        <v>14</v>
      </c>
      <c r="E592" s="15" t="n">
        <v>447</v>
      </c>
      <c r="F592" s="5" t="inlineStr">
        <is>
          <t>нет</t>
        </is>
      </c>
      <c r="G592" s="8" t="n"/>
      <c r="H592">
        <f>VLOOKUP(C592,Автомобили!$A$2:$G$1000,3,0)</f>
        <v/>
      </c>
      <c r="I592">
        <f>VLOOKUP(D592,Клиенты!$A$2:$D$1000,2,0)</f>
        <v/>
      </c>
      <c r="J592">
        <f>IF(AND(H592="Kaptur",I592="Окраинов Л.Г.",YEAR(B592)=2020),E592,0)</f>
        <v/>
      </c>
    </row>
    <row r="593">
      <c r="A593" s="6" t="n">
        <v>592</v>
      </c>
      <c r="B593" s="13" t="n">
        <v>43978</v>
      </c>
      <c r="C593" s="6" t="inlineStr">
        <is>
          <t>A49</t>
        </is>
      </c>
      <c r="D593" s="6" t="n">
        <v>1</v>
      </c>
      <c r="E593" s="15" t="n">
        <v>404</v>
      </c>
      <c r="F593" s="5" t="inlineStr">
        <is>
          <t>нет</t>
        </is>
      </c>
      <c r="G593" s="8" t="n"/>
      <c r="H593">
        <f>VLOOKUP(C593,Автомобили!$A$2:$G$1000,3,0)</f>
        <v/>
      </c>
      <c r="I593">
        <f>VLOOKUP(D593,Клиенты!$A$2:$D$1000,2,0)</f>
        <v/>
      </c>
      <c r="J593">
        <f>IF(AND(H593="Kaptur",I593="Окраинов Л.Г.",YEAR(B593)=2020),E593,0)</f>
        <v/>
      </c>
    </row>
    <row r="594">
      <c r="A594" s="6" t="n">
        <v>593</v>
      </c>
      <c r="B594" s="13" t="n">
        <v>43979</v>
      </c>
      <c r="C594" s="6" t="inlineStr">
        <is>
          <t>A54</t>
        </is>
      </c>
      <c r="D594" s="6" t="n">
        <v>10</v>
      </c>
      <c r="E594" s="15" t="n">
        <v>411</v>
      </c>
      <c r="F594" s="5" t="inlineStr">
        <is>
          <t>нет</t>
        </is>
      </c>
      <c r="G594" s="8" t="n"/>
      <c r="H594">
        <f>VLOOKUP(C594,Автомобили!$A$2:$G$1000,3,0)</f>
        <v/>
      </c>
      <c r="I594">
        <f>VLOOKUP(D594,Клиенты!$A$2:$D$1000,2,0)</f>
        <v/>
      </c>
      <c r="J594">
        <f>IF(AND(H594="Kaptur",I594="Окраинов Л.Г.",YEAR(B594)=2020),E594,0)</f>
        <v/>
      </c>
    </row>
    <row r="595">
      <c r="A595" s="6" t="n">
        <v>594</v>
      </c>
      <c r="B595" s="13" t="n">
        <v>43979</v>
      </c>
      <c r="C595" s="6" t="inlineStr">
        <is>
          <t>A44</t>
        </is>
      </c>
      <c r="D595" s="6" t="n">
        <v>7</v>
      </c>
      <c r="E595" s="15" t="n">
        <v>300</v>
      </c>
      <c r="F595" s="5" t="inlineStr">
        <is>
          <t>нет</t>
        </is>
      </c>
      <c r="G595" s="8" t="n"/>
      <c r="H595">
        <f>VLOOKUP(C595,Автомобили!$A$2:$G$1000,3,0)</f>
        <v/>
      </c>
      <c r="I595">
        <f>VLOOKUP(D595,Клиенты!$A$2:$D$1000,2,0)</f>
        <v/>
      </c>
      <c r="J595">
        <f>IF(AND(H595="Kaptur",I595="Окраинов Л.Г.",YEAR(B595)=2020),E595,0)</f>
        <v/>
      </c>
    </row>
    <row r="596">
      <c r="A596" s="6" t="n">
        <v>595</v>
      </c>
      <c r="B596" s="13" t="n">
        <v>43979</v>
      </c>
      <c r="C596" s="6" t="inlineStr">
        <is>
          <t>A11</t>
        </is>
      </c>
      <c r="D596" s="6" t="n">
        <v>1</v>
      </c>
      <c r="E596" s="15" t="n">
        <v>428</v>
      </c>
      <c r="F596" s="5" t="inlineStr">
        <is>
          <t>нет</t>
        </is>
      </c>
      <c r="G596" s="8" t="n"/>
      <c r="H596">
        <f>VLOOKUP(C596,Автомобили!$A$2:$G$1000,3,0)</f>
        <v/>
      </c>
      <c r="I596">
        <f>VLOOKUP(D596,Клиенты!$A$2:$D$1000,2,0)</f>
        <v/>
      </c>
      <c r="J596">
        <f>IF(AND(H596="Kaptur",I596="Окраинов Л.Г.",YEAR(B596)=2020),E596,0)</f>
        <v/>
      </c>
    </row>
    <row r="597">
      <c r="A597" s="6" t="n">
        <v>596</v>
      </c>
      <c r="B597" s="13" t="n">
        <v>43979</v>
      </c>
      <c r="C597" s="6" t="inlineStr">
        <is>
          <t>A15</t>
        </is>
      </c>
      <c r="D597" s="6" t="n">
        <v>2</v>
      </c>
      <c r="E597" s="15" t="n">
        <v>214</v>
      </c>
      <c r="F597" s="5" t="inlineStr">
        <is>
          <t>нет</t>
        </is>
      </c>
      <c r="G597" s="8" t="n"/>
      <c r="H597">
        <f>VLOOKUP(C597,Автомобили!$A$2:$G$1000,3,0)</f>
        <v/>
      </c>
      <c r="I597">
        <f>VLOOKUP(D597,Клиенты!$A$2:$D$1000,2,0)</f>
        <v/>
      </c>
      <c r="J597">
        <f>IF(AND(H597="Kaptur",I597="Окраинов Л.Г.",YEAR(B597)=2020),E597,0)</f>
        <v/>
      </c>
    </row>
    <row r="598">
      <c r="A598" s="6" t="n">
        <v>597</v>
      </c>
      <c r="B598" s="13" t="n">
        <v>43980</v>
      </c>
      <c r="C598" s="6" t="inlineStr">
        <is>
          <t>A8</t>
        </is>
      </c>
      <c r="D598" s="6" t="n">
        <v>1</v>
      </c>
      <c r="E598" s="15" t="n">
        <v>372</v>
      </c>
      <c r="F598" s="5" t="inlineStr">
        <is>
          <t>нет</t>
        </is>
      </c>
      <c r="G598" s="8" t="n"/>
      <c r="H598">
        <f>VLOOKUP(C598,Автомобили!$A$2:$G$1000,3,0)</f>
        <v/>
      </c>
      <c r="I598">
        <f>VLOOKUP(D598,Клиенты!$A$2:$D$1000,2,0)</f>
        <v/>
      </c>
      <c r="J598">
        <f>IF(AND(H598="Kaptur",I598="Окраинов Л.Г.",YEAR(B598)=2020),E598,0)</f>
        <v/>
      </c>
    </row>
    <row r="599">
      <c r="A599" s="6" t="n">
        <v>598</v>
      </c>
      <c r="B599" s="13" t="n">
        <v>43980</v>
      </c>
      <c r="C599" s="6" t="inlineStr">
        <is>
          <t>A51</t>
        </is>
      </c>
      <c r="D599" s="6" t="n">
        <v>7</v>
      </c>
      <c r="E599" s="15" t="n">
        <v>342</v>
      </c>
      <c r="F599" s="5" t="inlineStr">
        <is>
          <t>нет</t>
        </is>
      </c>
      <c r="G599" s="8" t="n"/>
      <c r="H599">
        <f>VLOOKUP(C599,Автомобили!$A$2:$G$1000,3,0)</f>
        <v/>
      </c>
      <c r="I599">
        <f>VLOOKUP(D599,Клиенты!$A$2:$D$1000,2,0)</f>
        <v/>
      </c>
      <c r="J599">
        <f>IF(AND(H599="Kaptur",I599="Окраинов Л.Г.",YEAR(B599)=2020),E599,0)</f>
        <v/>
      </c>
    </row>
    <row r="600">
      <c r="A600" s="6" t="n">
        <v>599</v>
      </c>
      <c r="B600" s="13" t="n">
        <v>43980</v>
      </c>
      <c r="C600" s="6" t="inlineStr">
        <is>
          <t>A6</t>
        </is>
      </c>
      <c r="D600" s="6" t="n">
        <v>10</v>
      </c>
      <c r="E600" s="15" t="n">
        <v>391</v>
      </c>
      <c r="F600" s="5" t="inlineStr">
        <is>
          <t>нет</t>
        </is>
      </c>
      <c r="G600" s="8" t="n"/>
      <c r="H600">
        <f>VLOOKUP(C600,Автомобили!$A$2:$G$1000,3,0)</f>
        <v/>
      </c>
      <c r="I600">
        <f>VLOOKUP(D600,Клиенты!$A$2:$D$1000,2,0)</f>
        <v/>
      </c>
      <c r="J600">
        <f>IF(AND(H600="Kaptur",I600="Окраинов Л.Г.",YEAR(B600)=2020),E600,0)</f>
        <v/>
      </c>
    </row>
    <row r="601">
      <c r="A601" s="6" t="n">
        <v>600</v>
      </c>
      <c r="B601" s="13" t="n">
        <v>43980</v>
      </c>
      <c r="C601" s="6" t="inlineStr">
        <is>
          <t>A29</t>
        </is>
      </c>
      <c r="D601" s="6" t="n">
        <v>6</v>
      </c>
      <c r="E601" s="15" t="n">
        <v>216</v>
      </c>
      <c r="F601" s="5" t="inlineStr">
        <is>
          <t>нет</t>
        </is>
      </c>
      <c r="G601" s="8" t="n"/>
      <c r="H601">
        <f>VLOOKUP(C601,Автомобили!$A$2:$G$1000,3,0)</f>
        <v/>
      </c>
      <c r="I601">
        <f>VLOOKUP(D601,Клиенты!$A$2:$D$1000,2,0)</f>
        <v/>
      </c>
      <c r="J601">
        <f>IF(AND(H601="Kaptur",I601="Окраинов Л.Г.",YEAR(B601)=2020),E601,0)</f>
        <v/>
      </c>
    </row>
    <row r="602">
      <c r="A602" s="6" t="n">
        <v>601</v>
      </c>
      <c r="B602" s="13" t="n">
        <v>43981</v>
      </c>
      <c r="C602" s="6" t="inlineStr">
        <is>
          <t>A37</t>
        </is>
      </c>
      <c r="D602" s="6" t="n">
        <v>15</v>
      </c>
      <c r="E602" s="15" t="n">
        <v>168</v>
      </c>
      <c r="F602" s="5" t="inlineStr">
        <is>
          <t>нет</t>
        </is>
      </c>
      <c r="G602" s="8" t="n"/>
      <c r="H602">
        <f>VLOOKUP(C602,Автомобили!$A$2:$G$1000,3,0)</f>
        <v/>
      </c>
      <c r="I602">
        <f>VLOOKUP(D602,Клиенты!$A$2:$D$1000,2,0)</f>
        <v/>
      </c>
      <c r="J602">
        <f>IF(AND(H602="Kaptur",I602="Окраинов Л.Г.",YEAR(B602)=2020),E602,0)</f>
        <v/>
      </c>
    </row>
    <row r="603">
      <c r="A603" s="6" t="n">
        <v>602</v>
      </c>
      <c r="B603" s="13" t="n">
        <v>43981</v>
      </c>
      <c r="C603" s="6" t="inlineStr">
        <is>
          <t>A54</t>
        </is>
      </c>
      <c r="D603" s="6" t="n">
        <v>4</v>
      </c>
      <c r="E603" s="15" t="n">
        <v>255</v>
      </c>
      <c r="F603" s="5" t="inlineStr">
        <is>
          <t>нет</t>
        </is>
      </c>
      <c r="G603" s="8" t="n"/>
      <c r="H603">
        <f>VLOOKUP(C603,Автомобили!$A$2:$G$1000,3,0)</f>
        <v/>
      </c>
      <c r="I603">
        <f>VLOOKUP(D603,Клиенты!$A$2:$D$1000,2,0)</f>
        <v/>
      </c>
      <c r="J603">
        <f>IF(AND(H603="Kaptur",I603="Окраинов Л.Г.",YEAR(B603)=2020),E603,0)</f>
        <v/>
      </c>
    </row>
    <row r="604">
      <c r="A604" s="6" t="n">
        <v>603</v>
      </c>
      <c r="B604" s="13" t="n">
        <v>43981</v>
      </c>
      <c r="C604" s="6" t="inlineStr">
        <is>
          <t>A46</t>
        </is>
      </c>
      <c r="D604" s="6" t="n">
        <v>4</v>
      </c>
      <c r="E604" s="15" t="n">
        <v>193</v>
      </c>
      <c r="F604" s="5" t="inlineStr">
        <is>
          <t>нет</t>
        </is>
      </c>
      <c r="G604" s="8" t="n"/>
      <c r="H604">
        <f>VLOOKUP(C604,Автомобили!$A$2:$G$1000,3,0)</f>
        <v/>
      </c>
      <c r="I604">
        <f>VLOOKUP(D604,Клиенты!$A$2:$D$1000,2,0)</f>
        <v/>
      </c>
      <c r="J604">
        <f>IF(AND(H604="Kaptur",I604="Окраинов Л.Г.",YEAR(B604)=2020),E604,0)</f>
        <v/>
      </c>
    </row>
    <row r="605">
      <c r="A605" s="6" t="n">
        <v>604</v>
      </c>
      <c r="B605" s="13" t="n">
        <v>43981</v>
      </c>
      <c r="C605" s="6" t="inlineStr">
        <is>
          <t>A45</t>
        </is>
      </c>
      <c r="D605" s="6" t="n">
        <v>1</v>
      </c>
      <c r="E605" s="15" t="n">
        <v>140</v>
      </c>
      <c r="F605" s="5" t="inlineStr">
        <is>
          <t>нет</t>
        </is>
      </c>
      <c r="G605" s="8" t="n"/>
      <c r="H605">
        <f>VLOOKUP(C605,Автомобили!$A$2:$G$1000,3,0)</f>
        <v/>
      </c>
      <c r="I605">
        <f>VLOOKUP(D605,Клиенты!$A$2:$D$1000,2,0)</f>
        <v/>
      </c>
      <c r="J605">
        <f>IF(AND(H605="Kaptur",I605="Окраинов Л.Г.",YEAR(B605)=2020),E605,0)</f>
        <v/>
      </c>
    </row>
    <row r="606">
      <c r="A606" s="6" t="n">
        <v>605</v>
      </c>
      <c r="B606" s="13" t="n">
        <v>43982</v>
      </c>
      <c r="C606" s="6" t="inlineStr">
        <is>
          <t>A25</t>
        </is>
      </c>
      <c r="D606" s="6" t="n">
        <v>1</v>
      </c>
      <c r="E606" s="15" t="n">
        <v>307</v>
      </c>
      <c r="F606" s="5" t="inlineStr">
        <is>
          <t>нет</t>
        </is>
      </c>
      <c r="G606" s="8" t="n"/>
      <c r="H606">
        <f>VLOOKUP(C606,Автомобили!$A$2:$G$1000,3,0)</f>
        <v/>
      </c>
      <c r="I606">
        <f>VLOOKUP(D606,Клиенты!$A$2:$D$1000,2,0)</f>
        <v/>
      </c>
      <c r="J606">
        <f>IF(AND(H606="Kaptur",I606="Окраинов Л.Г.",YEAR(B606)=2020),E606,0)</f>
        <v/>
      </c>
    </row>
    <row r="607">
      <c r="A607" s="6" t="n">
        <v>606</v>
      </c>
      <c r="B607" s="13" t="n">
        <v>43982</v>
      </c>
      <c r="C607" s="6" t="inlineStr">
        <is>
          <t>A8</t>
        </is>
      </c>
      <c r="D607" s="6" t="n">
        <v>9</v>
      </c>
      <c r="E607" s="15" t="n">
        <v>342</v>
      </c>
      <c r="F607" s="5" t="inlineStr">
        <is>
          <t>нет</t>
        </is>
      </c>
      <c r="G607" s="8" t="n"/>
      <c r="H607">
        <f>VLOOKUP(C607,Автомобили!$A$2:$G$1000,3,0)</f>
        <v/>
      </c>
      <c r="I607">
        <f>VLOOKUP(D607,Клиенты!$A$2:$D$1000,2,0)</f>
        <v/>
      </c>
      <c r="J607">
        <f>IF(AND(H607="Kaptur",I607="Окраинов Л.Г.",YEAR(B607)=2020),E607,0)</f>
        <v/>
      </c>
    </row>
    <row r="608">
      <c r="A608" s="6" t="n">
        <v>607</v>
      </c>
      <c r="B608" s="13" t="n">
        <v>43982</v>
      </c>
      <c r="C608" s="6" t="inlineStr">
        <is>
          <t>A37</t>
        </is>
      </c>
      <c r="D608" s="6" t="n">
        <v>15</v>
      </c>
      <c r="E608" s="15" t="n">
        <v>333</v>
      </c>
      <c r="F608" s="5" t="inlineStr">
        <is>
          <t>нет</t>
        </is>
      </c>
      <c r="G608" s="8" t="n"/>
      <c r="H608">
        <f>VLOOKUP(C608,Автомобили!$A$2:$G$1000,3,0)</f>
        <v/>
      </c>
      <c r="I608">
        <f>VLOOKUP(D608,Клиенты!$A$2:$D$1000,2,0)</f>
        <v/>
      </c>
      <c r="J608">
        <f>IF(AND(H608="Kaptur",I608="Окраинов Л.Г.",YEAR(B608)=2020),E608,0)</f>
        <v/>
      </c>
    </row>
    <row r="609">
      <c r="A609" s="6" t="n">
        <v>608</v>
      </c>
      <c r="B609" s="13" t="n">
        <v>43982</v>
      </c>
      <c r="C609" s="6" t="inlineStr">
        <is>
          <t>A37</t>
        </is>
      </c>
      <c r="D609" s="6" t="n">
        <v>13</v>
      </c>
      <c r="E609" s="15" t="n">
        <v>408</v>
      </c>
      <c r="F609" s="5" t="inlineStr">
        <is>
          <t>нет</t>
        </is>
      </c>
      <c r="G609" s="8" t="n"/>
      <c r="H609">
        <f>VLOOKUP(C609,Автомобили!$A$2:$G$1000,3,0)</f>
        <v/>
      </c>
      <c r="I609">
        <f>VLOOKUP(D609,Клиенты!$A$2:$D$1000,2,0)</f>
        <v/>
      </c>
      <c r="J609">
        <f>IF(AND(H609="Kaptur",I609="Окраинов Л.Г.",YEAR(B609)=2020),E609,0)</f>
        <v/>
      </c>
    </row>
    <row r="610">
      <c r="A610" s="6" t="n">
        <v>609</v>
      </c>
      <c r="B610" s="13" t="n">
        <v>43983</v>
      </c>
      <c r="C610" s="6" t="inlineStr">
        <is>
          <t>A41</t>
        </is>
      </c>
      <c r="D610" s="6" t="n">
        <v>10</v>
      </c>
      <c r="E610" s="15" t="n">
        <v>364</v>
      </c>
      <c r="F610" s="5" t="inlineStr">
        <is>
          <t>нет</t>
        </is>
      </c>
      <c r="G610" s="8" t="n"/>
      <c r="H610">
        <f>VLOOKUP(C610,Автомобили!$A$2:$G$1000,3,0)</f>
        <v/>
      </c>
      <c r="I610">
        <f>VLOOKUP(D610,Клиенты!$A$2:$D$1000,2,0)</f>
        <v/>
      </c>
      <c r="J610">
        <f>IF(AND(H610="Kaptur",I610="Окраинов Л.Г.",YEAR(B610)=2020),E610,0)</f>
        <v/>
      </c>
    </row>
    <row r="611">
      <c r="A611" s="6" t="n">
        <v>610</v>
      </c>
      <c r="B611" s="13" t="n">
        <v>43983</v>
      </c>
      <c r="C611" s="6" t="inlineStr">
        <is>
          <t>A36</t>
        </is>
      </c>
      <c r="D611" s="6" t="n">
        <v>7</v>
      </c>
      <c r="E611" s="15" t="n">
        <v>402</v>
      </c>
      <c r="F611" s="5" t="inlineStr">
        <is>
          <t>нет</t>
        </is>
      </c>
      <c r="G611" s="8" t="n"/>
      <c r="H611">
        <f>VLOOKUP(C611,Автомобили!$A$2:$G$1000,3,0)</f>
        <v/>
      </c>
      <c r="I611">
        <f>VLOOKUP(D611,Клиенты!$A$2:$D$1000,2,0)</f>
        <v/>
      </c>
      <c r="J611">
        <f>IF(AND(H611="Kaptur",I611="Окраинов Л.Г.",YEAR(B611)=2020),E611,0)</f>
        <v/>
      </c>
    </row>
    <row r="612">
      <c r="A612" s="6" t="n">
        <v>611</v>
      </c>
      <c r="B612" s="13" t="n">
        <v>43983</v>
      </c>
      <c r="C612" s="6" t="inlineStr">
        <is>
          <t>A17</t>
        </is>
      </c>
      <c r="D612" s="6" t="n">
        <v>14</v>
      </c>
      <c r="E612" s="15" t="n">
        <v>431</v>
      </c>
      <c r="F612" s="5" t="inlineStr">
        <is>
          <t>нет</t>
        </is>
      </c>
      <c r="G612" s="8" t="n"/>
      <c r="H612">
        <f>VLOOKUP(C612,Автомобили!$A$2:$G$1000,3,0)</f>
        <v/>
      </c>
      <c r="I612">
        <f>VLOOKUP(D612,Клиенты!$A$2:$D$1000,2,0)</f>
        <v/>
      </c>
      <c r="J612">
        <f>IF(AND(H612="Kaptur",I612="Окраинов Л.Г.",YEAR(B612)=2020),E612,0)</f>
        <v/>
      </c>
    </row>
    <row r="613">
      <c r="A613" s="6" t="n">
        <v>612</v>
      </c>
      <c r="B613" s="13" t="n">
        <v>43983</v>
      </c>
      <c r="C613" s="6" t="inlineStr">
        <is>
          <t>A54</t>
        </is>
      </c>
      <c r="D613" s="6" t="n">
        <v>1</v>
      </c>
      <c r="E613" s="15" t="n">
        <v>332</v>
      </c>
      <c r="F613" s="5" t="inlineStr">
        <is>
          <t>нет</t>
        </is>
      </c>
      <c r="G613" s="8" t="n"/>
      <c r="H613">
        <f>VLOOKUP(C613,Автомобили!$A$2:$G$1000,3,0)</f>
        <v/>
      </c>
      <c r="I613">
        <f>VLOOKUP(D613,Клиенты!$A$2:$D$1000,2,0)</f>
        <v/>
      </c>
      <c r="J613">
        <f>IF(AND(H613="Kaptur",I613="Окраинов Л.Г.",YEAR(B613)=2020),E613,0)</f>
        <v/>
      </c>
    </row>
    <row r="614">
      <c r="A614" s="6" t="n">
        <v>613</v>
      </c>
      <c r="B614" s="13" t="n">
        <v>43984</v>
      </c>
      <c r="C614" s="6" t="inlineStr">
        <is>
          <t>A37</t>
        </is>
      </c>
      <c r="D614" s="6" t="n">
        <v>9</v>
      </c>
      <c r="E614" s="15" t="n">
        <v>255</v>
      </c>
      <c r="F614" s="5" t="inlineStr">
        <is>
          <t>нет</t>
        </is>
      </c>
      <c r="G614" s="8" t="n"/>
      <c r="H614">
        <f>VLOOKUP(C614,Автомобили!$A$2:$G$1000,3,0)</f>
        <v/>
      </c>
      <c r="I614">
        <f>VLOOKUP(D614,Клиенты!$A$2:$D$1000,2,0)</f>
        <v/>
      </c>
      <c r="J614">
        <f>IF(AND(H614="Kaptur",I614="Окраинов Л.Г.",YEAR(B614)=2020),E614,0)</f>
        <v/>
      </c>
    </row>
    <row r="615">
      <c r="A615" s="6" t="n">
        <v>614</v>
      </c>
      <c r="B615" s="13" t="n">
        <v>43984</v>
      </c>
      <c r="C615" s="6" t="inlineStr">
        <is>
          <t>A60</t>
        </is>
      </c>
      <c r="D615" s="6" t="n">
        <v>12</v>
      </c>
      <c r="E615" s="15" t="n">
        <v>230</v>
      </c>
      <c r="F615" s="5" t="inlineStr">
        <is>
          <t>нет</t>
        </is>
      </c>
      <c r="G615" s="8" t="n"/>
      <c r="H615">
        <f>VLOOKUP(C615,Автомобили!$A$2:$G$1000,3,0)</f>
        <v/>
      </c>
      <c r="I615">
        <f>VLOOKUP(D615,Клиенты!$A$2:$D$1000,2,0)</f>
        <v/>
      </c>
      <c r="J615">
        <f>IF(AND(H615="Kaptur",I615="Окраинов Л.Г.",YEAR(B615)=2020),E615,0)</f>
        <v/>
      </c>
    </row>
    <row r="616">
      <c r="A616" s="6" t="n">
        <v>615</v>
      </c>
      <c r="B616" s="13" t="n">
        <v>43984</v>
      </c>
      <c r="C616" s="6" t="inlineStr">
        <is>
          <t>A46</t>
        </is>
      </c>
      <c r="D616" s="6" t="n">
        <v>10</v>
      </c>
      <c r="E616" s="15" t="n">
        <v>241</v>
      </c>
      <c r="F616" s="5" t="inlineStr">
        <is>
          <t>нет</t>
        </is>
      </c>
      <c r="G616" s="8" t="n"/>
      <c r="H616">
        <f>VLOOKUP(C616,Автомобили!$A$2:$G$1000,3,0)</f>
        <v/>
      </c>
      <c r="I616">
        <f>VLOOKUP(D616,Клиенты!$A$2:$D$1000,2,0)</f>
        <v/>
      </c>
      <c r="J616">
        <f>IF(AND(H616="Kaptur",I616="Окраинов Л.Г.",YEAR(B616)=2020),E616,0)</f>
        <v/>
      </c>
    </row>
    <row r="617">
      <c r="A617" s="6" t="n">
        <v>616</v>
      </c>
      <c r="B617" s="13" t="n">
        <v>43984</v>
      </c>
      <c r="C617" s="6" t="inlineStr">
        <is>
          <t>A19</t>
        </is>
      </c>
      <c r="D617" s="6" t="n">
        <v>10</v>
      </c>
      <c r="E617" s="15" t="n">
        <v>190</v>
      </c>
      <c r="F617" s="5" t="inlineStr">
        <is>
          <t>нет</t>
        </is>
      </c>
      <c r="G617" s="8" t="n"/>
      <c r="H617">
        <f>VLOOKUP(C617,Автомобили!$A$2:$G$1000,3,0)</f>
        <v/>
      </c>
      <c r="I617">
        <f>VLOOKUP(D617,Клиенты!$A$2:$D$1000,2,0)</f>
        <v/>
      </c>
      <c r="J617">
        <f>IF(AND(H617="Kaptur",I617="Окраинов Л.Г.",YEAR(B617)=2020),E617,0)</f>
        <v/>
      </c>
    </row>
    <row r="618">
      <c r="A618" s="6" t="n">
        <v>617</v>
      </c>
      <c r="B618" s="13" t="n">
        <v>43985</v>
      </c>
      <c r="C618" s="6" t="inlineStr">
        <is>
          <t>A37</t>
        </is>
      </c>
      <c r="D618" s="6" t="n">
        <v>8</v>
      </c>
      <c r="E618" s="15" t="n">
        <v>355</v>
      </c>
      <c r="F618" s="5" t="inlineStr">
        <is>
          <t>нет</t>
        </is>
      </c>
      <c r="G618" s="8" t="n"/>
      <c r="H618">
        <f>VLOOKUP(C618,Автомобили!$A$2:$G$1000,3,0)</f>
        <v/>
      </c>
      <c r="I618">
        <f>VLOOKUP(D618,Клиенты!$A$2:$D$1000,2,0)</f>
        <v/>
      </c>
      <c r="J618">
        <f>IF(AND(H618="Kaptur",I618="Окраинов Л.Г.",YEAR(B618)=2020),E618,0)</f>
        <v/>
      </c>
    </row>
    <row r="619">
      <c r="A619" s="6" t="n">
        <v>618</v>
      </c>
      <c r="B619" s="13" t="n">
        <v>43985</v>
      </c>
      <c r="C619" s="6" t="inlineStr">
        <is>
          <t>A12</t>
        </is>
      </c>
      <c r="D619" s="6" t="n">
        <v>1</v>
      </c>
      <c r="E619" s="15" t="n">
        <v>310</v>
      </c>
      <c r="F619" s="5" t="inlineStr">
        <is>
          <t>нет</t>
        </is>
      </c>
      <c r="G619" s="8" t="n"/>
      <c r="H619">
        <f>VLOOKUP(C619,Автомобили!$A$2:$G$1000,3,0)</f>
        <v/>
      </c>
      <c r="I619">
        <f>VLOOKUP(D619,Клиенты!$A$2:$D$1000,2,0)</f>
        <v/>
      </c>
      <c r="J619">
        <f>IF(AND(H619="Kaptur",I619="Окраинов Л.Г.",YEAR(B619)=2020),E619,0)</f>
        <v/>
      </c>
    </row>
    <row r="620">
      <c r="A620" s="6" t="n">
        <v>619</v>
      </c>
      <c r="B620" s="13" t="n">
        <v>43985</v>
      </c>
      <c r="C620" s="6" t="inlineStr">
        <is>
          <t>A35</t>
        </is>
      </c>
      <c r="D620" s="6" t="n">
        <v>15</v>
      </c>
      <c r="E620" s="15" t="n">
        <v>142</v>
      </c>
      <c r="F620" s="5" t="inlineStr">
        <is>
          <t>нет</t>
        </is>
      </c>
      <c r="G620" s="8" t="n"/>
      <c r="H620">
        <f>VLOOKUP(C620,Автомобили!$A$2:$G$1000,3,0)</f>
        <v/>
      </c>
      <c r="I620">
        <f>VLOOKUP(D620,Клиенты!$A$2:$D$1000,2,0)</f>
        <v/>
      </c>
      <c r="J620">
        <f>IF(AND(H620="Kaptur",I620="Окраинов Л.Г.",YEAR(B620)=2020),E620,0)</f>
        <v/>
      </c>
    </row>
    <row r="621">
      <c r="A621" s="6" t="n">
        <v>620</v>
      </c>
      <c r="B621" s="13" t="n">
        <v>43985</v>
      </c>
      <c r="C621" s="6" t="inlineStr">
        <is>
          <t>A48</t>
        </is>
      </c>
      <c r="D621" s="6" t="n">
        <v>8</v>
      </c>
      <c r="E621" s="15" t="n">
        <v>88</v>
      </c>
      <c r="F621" s="5" t="inlineStr">
        <is>
          <t>нет</t>
        </is>
      </c>
      <c r="G621" s="8" t="n"/>
      <c r="H621">
        <f>VLOOKUP(C621,Автомобили!$A$2:$G$1000,3,0)</f>
        <v/>
      </c>
      <c r="I621">
        <f>VLOOKUP(D621,Клиенты!$A$2:$D$1000,2,0)</f>
        <v/>
      </c>
      <c r="J621">
        <f>IF(AND(H621="Kaptur",I621="Окраинов Л.Г.",YEAR(B621)=2020),E621,0)</f>
        <v/>
      </c>
    </row>
    <row r="622">
      <c r="A622" s="6" t="n">
        <v>621</v>
      </c>
      <c r="B622" s="13" t="n">
        <v>43986</v>
      </c>
      <c r="C622" s="6" t="inlineStr">
        <is>
          <t>A8</t>
        </is>
      </c>
      <c r="D622" s="6" t="n">
        <v>12</v>
      </c>
      <c r="E622" s="15" t="n">
        <v>313</v>
      </c>
      <c r="F622" s="5" t="inlineStr">
        <is>
          <t>нет</t>
        </is>
      </c>
      <c r="G622" s="8" t="n"/>
      <c r="H622">
        <f>VLOOKUP(C622,Автомобили!$A$2:$G$1000,3,0)</f>
        <v/>
      </c>
      <c r="I622">
        <f>VLOOKUP(D622,Клиенты!$A$2:$D$1000,2,0)</f>
        <v/>
      </c>
      <c r="J622">
        <f>IF(AND(H622="Kaptur",I622="Окраинов Л.Г.",YEAR(B622)=2020),E622,0)</f>
        <v/>
      </c>
    </row>
    <row r="623">
      <c r="A623" s="6" t="n">
        <v>622</v>
      </c>
      <c r="B623" s="13" t="n">
        <v>43986</v>
      </c>
      <c r="C623" s="6" t="inlineStr">
        <is>
          <t>A26</t>
        </is>
      </c>
      <c r="D623" s="6" t="n">
        <v>5</v>
      </c>
      <c r="E623" s="15" t="n">
        <v>142</v>
      </c>
      <c r="F623" s="5" t="inlineStr">
        <is>
          <t>нет</t>
        </is>
      </c>
      <c r="G623" s="8" t="n"/>
      <c r="H623">
        <f>VLOOKUP(C623,Автомобили!$A$2:$G$1000,3,0)</f>
        <v/>
      </c>
      <c r="I623">
        <f>VLOOKUP(D623,Клиенты!$A$2:$D$1000,2,0)</f>
        <v/>
      </c>
      <c r="J623">
        <f>IF(AND(H623="Kaptur",I623="Окраинов Л.Г.",YEAR(B623)=2020),E623,0)</f>
        <v/>
      </c>
    </row>
    <row r="624">
      <c r="A624" s="6" t="n">
        <v>623</v>
      </c>
      <c r="B624" s="13" t="n">
        <v>43986</v>
      </c>
      <c r="C624" s="6" t="inlineStr">
        <is>
          <t>A44</t>
        </is>
      </c>
      <c r="D624" s="6" t="n">
        <v>4</v>
      </c>
      <c r="E624" s="15" t="n">
        <v>368</v>
      </c>
      <c r="F624" s="5" t="inlineStr">
        <is>
          <t>нет</t>
        </is>
      </c>
      <c r="G624" s="8" t="n"/>
      <c r="H624">
        <f>VLOOKUP(C624,Автомобили!$A$2:$G$1000,3,0)</f>
        <v/>
      </c>
      <c r="I624">
        <f>VLOOKUP(D624,Клиенты!$A$2:$D$1000,2,0)</f>
        <v/>
      </c>
      <c r="J624">
        <f>IF(AND(H624="Kaptur",I624="Окраинов Л.Г.",YEAR(B624)=2020),E624,0)</f>
        <v/>
      </c>
    </row>
    <row r="625">
      <c r="A625" s="6" t="n">
        <v>624</v>
      </c>
      <c r="B625" s="13" t="n">
        <v>43986</v>
      </c>
      <c r="C625" s="6" t="inlineStr">
        <is>
          <t>A48</t>
        </is>
      </c>
      <c r="D625" s="6" t="n">
        <v>2</v>
      </c>
      <c r="E625" s="15" t="n">
        <v>293</v>
      </c>
      <c r="F625" s="5" t="inlineStr">
        <is>
          <t>нет</t>
        </is>
      </c>
      <c r="G625" s="8" t="n"/>
      <c r="H625">
        <f>VLOOKUP(C625,Автомобили!$A$2:$G$1000,3,0)</f>
        <v/>
      </c>
      <c r="I625">
        <f>VLOOKUP(D625,Клиенты!$A$2:$D$1000,2,0)</f>
        <v/>
      </c>
      <c r="J625">
        <f>IF(AND(H625="Kaptur",I625="Окраинов Л.Г.",YEAR(B625)=2020),E625,0)</f>
        <v/>
      </c>
    </row>
    <row r="626">
      <c r="A626" s="6" t="n">
        <v>625</v>
      </c>
      <c r="B626" s="13" t="n">
        <v>43987</v>
      </c>
      <c r="C626" s="6" t="inlineStr">
        <is>
          <t>A42</t>
        </is>
      </c>
      <c r="D626" s="6" t="n">
        <v>10</v>
      </c>
      <c r="E626" s="15" t="n">
        <v>293</v>
      </c>
      <c r="F626" s="5" t="inlineStr">
        <is>
          <t>нет</t>
        </is>
      </c>
      <c r="G626" s="8" t="n"/>
      <c r="H626">
        <f>VLOOKUP(C626,Автомобили!$A$2:$G$1000,3,0)</f>
        <v/>
      </c>
      <c r="I626">
        <f>VLOOKUP(D626,Клиенты!$A$2:$D$1000,2,0)</f>
        <v/>
      </c>
      <c r="J626">
        <f>IF(AND(H626="Kaptur",I626="Окраинов Л.Г.",YEAR(B626)=2020),E626,0)</f>
        <v/>
      </c>
    </row>
    <row r="627">
      <c r="A627" s="6" t="n">
        <v>626</v>
      </c>
      <c r="B627" s="13" t="n">
        <v>43987</v>
      </c>
      <c r="C627" s="6" t="inlineStr">
        <is>
          <t>A5</t>
        </is>
      </c>
      <c r="D627" s="6" t="n">
        <v>10</v>
      </c>
      <c r="E627" s="15" t="n">
        <v>232</v>
      </c>
      <c r="F627" s="5" t="inlineStr">
        <is>
          <t>нет</t>
        </is>
      </c>
      <c r="G627" s="8" t="n"/>
      <c r="H627">
        <f>VLOOKUP(C627,Автомобили!$A$2:$G$1000,3,0)</f>
        <v/>
      </c>
      <c r="I627">
        <f>VLOOKUP(D627,Клиенты!$A$2:$D$1000,2,0)</f>
        <v/>
      </c>
      <c r="J627">
        <f>IF(AND(H627="Kaptur",I627="Окраинов Л.Г.",YEAR(B627)=2020),E627,0)</f>
        <v/>
      </c>
    </row>
    <row r="628">
      <c r="A628" s="6" t="n">
        <v>627</v>
      </c>
      <c r="B628" s="13" t="n">
        <v>43987</v>
      </c>
      <c r="C628" s="6" t="inlineStr">
        <is>
          <t>A61</t>
        </is>
      </c>
      <c r="D628" s="6" t="n">
        <v>14</v>
      </c>
      <c r="E628" s="15" t="n">
        <v>98</v>
      </c>
      <c r="F628" s="5" t="inlineStr">
        <is>
          <t>нет</t>
        </is>
      </c>
      <c r="G628" s="8" t="n"/>
      <c r="H628">
        <f>VLOOKUP(C628,Автомобили!$A$2:$G$1000,3,0)</f>
        <v/>
      </c>
      <c r="I628">
        <f>VLOOKUP(D628,Клиенты!$A$2:$D$1000,2,0)</f>
        <v/>
      </c>
      <c r="J628">
        <f>IF(AND(H628="Kaptur",I628="Окраинов Л.Г.",YEAR(B628)=2020),E628,0)</f>
        <v/>
      </c>
    </row>
    <row r="629">
      <c r="A629" s="6" t="n">
        <v>628</v>
      </c>
      <c r="B629" s="13" t="n">
        <v>43987</v>
      </c>
      <c r="C629" s="6" t="inlineStr">
        <is>
          <t>A20</t>
        </is>
      </c>
      <c r="D629" s="6" t="n">
        <v>3</v>
      </c>
      <c r="E629" s="15" t="n">
        <v>340</v>
      </c>
      <c r="F629" s="5" t="inlineStr">
        <is>
          <t>нет</t>
        </is>
      </c>
      <c r="G629" s="8" t="n"/>
      <c r="H629">
        <f>VLOOKUP(C629,Автомобили!$A$2:$G$1000,3,0)</f>
        <v/>
      </c>
      <c r="I629">
        <f>VLOOKUP(D629,Клиенты!$A$2:$D$1000,2,0)</f>
        <v/>
      </c>
      <c r="J629">
        <f>IF(AND(H629="Kaptur",I629="Окраинов Л.Г.",YEAR(B629)=2020),E629,0)</f>
        <v/>
      </c>
    </row>
    <row r="630">
      <c r="A630" s="6" t="n">
        <v>629</v>
      </c>
      <c r="B630" s="13" t="n">
        <v>43988</v>
      </c>
      <c r="C630" s="6" t="inlineStr">
        <is>
          <t>A16</t>
        </is>
      </c>
      <c r="D630" s="6" t="n">
        <v>10</v>
      </c>
      <c r="E630" s="15" t="n">
        <v>243</v>
      </c>
      <c r="F630" s="5" t="inlineStr">
        <is>
          <t>нет</t>
        </is>
      </c>
      <c r="G630" s="8" t="n"/>
      <c r="H630">
        <f>VLOOKUP(C630,Автомобили!$A$2:$G$1000,3,0)</f>
        <v/>
      </c>
      <c r="I630">
        <f>VLOOKUP(D630,Клиенты!$A$2:$D$1000,2,0)</f>
        <v/>
      </c>
      <c r="J630">
        <f>IF(AND(H630="Kaptur",I630="Окраинов Л.Г.",YEAR(B630)=2020),E630,0)</f>
        <v/>
      </c>
    </row>
    <row r="631">
      <c r="A631" s="6" t="n">
        <v>630</v>
      </c>
      <c r="B631" s="13" t="n">
        <v>43988</v>
      </c>
      <c r="C631" s="6" t="inlineStr">
        <is>
          <t>A5</t>
        </is>
      </c>
      <c r="D631" s="6" t="n">
        <v>7</v>
      </c>
      <c r="E631" s="15" t="n">
        <v>70</v>
      </c>
      <c r="F631" s="5" t="inlineStr">
        <is>
          <t>нет</t>
        </is>
      </c>
      <c r="G631" s="8" t="n"/>
      <c r="H631">
        <f>VLOOKUP(C631,Автомобили!$A$2:$G$1000,3,0)</f>
        <v/>
      </c>
      <c r="I631">
        <f>VLOOKUP(D631,Клиенты!$A$2:$D$1000,2,0)</f>
        <v/>
      </c>
      <c r="J631">
        <f>IF(AND(H631="Kaptur",I631="Окраинов Л.Г.",YEAR(B631)=2020),E631,0)</f>
        <v/>
      </c>
    </row>
    <row r="632">
      <c r="A632" s="6" t="n">
        <v>631</v>
      </c>
      <c r="B632" s="13" t="n">
        <v>43988</v>
      </c>
      <c r="C632" s="6" t="inlineStr">
        <is>
          <t>A39</t>
        </is>
      </c>
      <c r="D632" s="6" t="n">
        <v>12</v>
      </c>
      <c r="E632" s="15" t="n">
        <v>138</v>
      </c>
      <c r="F632" s="5" t="inlineStr">
        <is>
          <t>нет</t>
        </is>
      </c>
      <c r="G632" s="8" t="n"/>
      <c r="H632">
        <f>VLOOKUP(C632,Автомобили!$A$2:$G$1000,3,0)</f>
        <v/>
      </c>
      <c r="I632">
        <f>VLOOKUP(D632,Клиенты!$A$2:$D$1000,2,0)</f>
        <v/>
      </c>
      <c r="J632">
        <f>IF(AND(H632="Kaptur",I632="Окраинов Л.Г.",YEAR(B632)=2020),E632,0)</f>
        <v/>
      </c>
    </row>
    <row r="633">
      <c r="A633" s="6" t="n">
        <v>632</v>
      </c>
      <c r="B633" s="13" t="n">
        <v>43988</v>
      </c>
      <c r="C633" s="6" t="inlineStr">
        <is>
          <t>A23</t>
        </is>
      </c>
      <c r="D633" s="6" t="n">
        <v>10</v>
      </c>
      <c r="E633" s="15" t="n">
        <v>213</v>
      </c>
      <c r="F633" s="5" t="inlineStr">
        <is>
          <t>нет</t>
        </is>
      </c>
      <c r="G633" s="8" t="n"/>
      <c r="H633">
        <f>VLOOKUP(C633,Автомобили!$A$2:$G$1000,3,0)</f>
        <v/>
      </c>
      <c r="I633">
        <f>VLOOKUP(D633,Клиенты!$A$2:$D$1000,2,0)</f>
        <v/>
      </c>
      <c r="J633">
        <f>IF(AND(H633="Kaptur",I633="Окраинов Л.Г.",YEAR(B633)=2020),E633,0)</f>
        <v/>
      </c>
    </row>
    <row r="634">
      <c r="A634" s="6" t="n">
        <v>633</v>
      </c>
      <c r="B634" s="13" t="n">
        <v>43989</v>
      </c>
      <c r="C634" s="6" t="inlineStr">
        <is>
          <t>A58</t>
        </is>
      </c>
      <c r="D634" s="6" t="n">
        <v>11</v>
      </c>
      <c r="E634" s="15" t="n">
        <v>371</v>
      </c>
      <c r="F634" s="5" t="inlineStr">
        <is>
          <t>нет</t>
        </is>
      </c>
      <c r="G634" s="8" t="n"/>
      <c r="H634">
        <f>VLOOKUP(C634,Автомобили!$A$2:$G$1000,3,0)</f>
        <v/>
      </c>
      <c r="I634">
        <f>VLOOKUP(D634,Клиенты!$A$2:$D$1000,2,0)</f>
        <v/>
      </c>
      <c r="J634">
        <f>IF(AND(H634="Kaptur",I634="Окраинов Л.Г.",YEAR(B634)=2020),E634,0)</f>
        <v/>
      </c>
    </row>
    <row r="635">
      <c r="A635" s="6" t="n">
        <v>634</v>
      </c>
      <c r="B635" s="13" t="n">
        <v>43989</v>
      </c>
      <c r="C635" s="6" t="inlineStr">
        <is>
          <t>A57</t>
        </is>
      </c>
      <c r="D635" s="6" t="n">
        <v>1</v>
      </c>
      <c r="E635" s="15" t="n">
        <v>409</v>
      </c>
      <c r="F635" s="5" t="inlineStr">
        <is>
          <t>нет</t>
        </is>
      </c>
      <c r="G635" s="8" t="n"/>
      <c r="H635">
        <f>VLOOKUP(C635,Автомобили!$A$2:$G$1000,3,0)</f>
        <v/>
      </c>
      <c r="I635">
        <f>VLOOKUP(D635,Клиенты!$A$2:$D$1000,2,0)</f>
        <v/>
      </c>
      <c r="J635">
        <f>IF(AND(H635="Kaptur",I635="Окраинов Л.Г.",YEAR(B635)=2020),E635,0)</f>
        <v/>
      </c>
    </row>
    <row r="636">
      <c r="A636" s="6" t="n">
        <v>635</v>
      </c>
      <c r="B636" s="13" t="n">
        <v>43989</v>
      </c>
      <c r="C636" s="6" t="inlineStr">
        <is>
          <t>A30</t>
        </is>
      </c>
      <c r="D636" s="6" t="n">
        <v>1</v>
      </c>
      <c r="E636" s="15" t="n">
        <v>192</v>
      </c>
      <c r="F636" s="5" t="inlineStr">
        <is>
          <t>нет</t>
        </is>
      </c>
      <c r="G636" s="8" t="n"/>
      <c r="H636">
        <f>VLOOKUP(C636,Автомобили!$A$2:$G$1000,3,0)</f>
        <v/>
      </c>
      <c r="I636">
        <f>VLOOKUP(D636,Клиенты!$A$2:$D$1000,2,0)</f>
        <v/>
      </c>
      <c r="J636">
        <f>IF(AND(H636="Kaptur",I636="Окраинов Л.Г.",YEAR(B636)=2020),E636,0)</f>
        <v/>
      </c>
    </row>
    <row r="637">
      <c r="A637" s="6" t="n">
        <v>636</v>
      </c>
      <c r="B637" s="13" t="n">
        <v>43989</v>
      </c>
      <c r="C637" s="6" t="inlineStr">
        <is>
          <t>A3</t>
        </is>
      </c>
      <c r="D637" s="6" t="n">
        <v>1</v>
      </c>
      <c r="E637" s="15" t="n">
        <v>444</v>
      </c>
      <c r="F637" s="5" t="inlineStr">
        <is>
          <t>нет</t>
        </is>
      </c>
      <c r="G637" s="8" t="n"/>
      <c r="H637">
        <f>VLOOKUP(C637,Автомобили!$A$2:$G$1000,3,0)</f>
        <v/>
      </c>
      <c r="I637">
        <f>VLOOKUP(D637,Клиенты!$A$2:$D$1000,2,0)</f>
        <v/>
      </c>
      <c r="J637">
        <f>IF(AND(H637="Kaptur",I637="Окраинов Л.Г.",YEAR(B637)=2020),E637,0)</f>
        <v/>
      </c>
    </row>
    <row r="638">
      <c r="A638" s="6" t="n">
        <v>637</v>
      </c>
      <c r="B638" s="13" t="n">
        <v>43990</v>
      </c>
      <c r="C638" s="6" t="inlineStr">
        <is>
          <t>A6</t>
        </is>
      </c>
      <c r="D638" s="6" t="n">
        <v>9</v>
      </c>
      <c r="E638" s="15" t="n">
        <v>207</v>
      </c>
      <c r="F638" s="5" t="inlineStr">
        <is>
          <t>нет</t>
        </is>
      </c>
      <c r="G638" s="8" t="n"/>
      <c r="H638">
        <f>VLOOKUP(C638,Автомобили!$A$2:$G$1000,3,0)</f>
        <v/>
      </c>
      <c r="I638">
        <f>VLOOKUP(D638,Клиенты!$A$2:$D$1000,2,0)</f>
        <v/>
      </c>
      <c r="J638">
        <f>IF(AND(H638="Kaptur",I638="Окраинов Л.Г.",YEAR(B638)=2020),E638,0)</f>
        <v/>
      </c>
    </row>
    <row r="639">
      <c r="A639" s="6" t="n">
        <v>638</v>
      </c>
      <c r="B639" s="13" t="n">
        <v>43990</v>
      </c>
      <c r="C639" s="6" t="inlineStr">
        <is>
          <t>A24</t>
        </is>
      </c>
      <c r="D639" s="6" t="n">
        <v>15</v>
      </c>
      <c r="E639" s="15" t="n">
        <v>301</v>
      </c>
      <c r="F639" s="5" t="inlineStr">
        <is>
          <t>нет</t>
        </is>
      </c>
      <c r="G639" s="8" t="n"/>
      <c r="H639">
        <f>VLOOKUP(C639,Автомобили!$A$2:$G$1000,3,0)</f>
        <v/>
      </c>
      <c r="I639">
        <f>VLOOKUP(D639,Клиенты!$A$2:$D$1000,2,0)</f>
        <v/>
      </c>
      <c r="J639">
        <f>IF(AND(H639="Kaptur",I639="Окраинов Л.Г.",YEAR(B639)=2020),E639,0)</f>
        <v/>
      </c>
    </row>
    <row r="640">
      <c r="A640" s="6" t="n">
        <v>639</v>
      </c>
      <c r="B640" s="13" t="n">
        <v>43990</v>
      </c>
      <c r="C640" s="6" t="inlineStr">
        <is>
          <t>A52</t>
        </is>
      </c>
      <c r="D640" s="6" t="n">
        <v>9</v>
      </c>
      <c r="E640" s="15" t="n">
        <v>178</v>
      </c>
      <c r="F640" s="5" t="inlineStr">
        <is>
          <t>нет</t>
        </is>
      </c>
      <c r="G640" s="8" t="n"/>
      <c r="H640">
        <f>VLOOKUP(C640,Автомобили!$A$2:$G$1000,3,0)</f>
        <v/>
      </c>
      <c r="I640">
        <f>VLOOKUP(D640,Клиенты!$A$2:$D$1000,2,0)</f>
        <v/>
      </c>
      <c r="J640">
        <f>IF(AND(H640="Kaptur",I640="Окраинов Л.Г.",YEAR(B640)=2020),E640,0)</f>
        <v/>
      </c>
    </row>
    <row r="641">
      <c r="A641" s="6" t="n">
        <v>640</v>
      </c>
      <c r="B641" s="13" t="n">
        <v>43990</v>
      </c>
      <c r="C641" s="6" t="inlineStr">
        <is>
          <t>A43</t>
        </is>
      </c>
      <c r="D641" s="6" t="n">
        <v>7</v>
      </c>
      <c r="E641" s="15" t="n">
        <v>380</v>
      </c>
      <c r="F641" s="5" t="inlineStr">
        <is>
          <t>нет</t>
        </is>
      </c>
      <c r="G641" s="8" t="n"/>
      <c r="H641">
        <f>VLOOKUP(C641,Автомобили!$A$2:$G$1000,3,0)</f>
        <v/>
      </c>
      <c r="I641">
        <f>VLOOKUP(D641,Клиенты!$A$2:$D$1000,2,0)</f>
        <v/>
      </c>
      <c r="J641">
        <f>IF(AND(H641="Kaptur",I641="Окраинов Л.Г.",YEAR(B641)=2020),E641,0)</f>
        <v/>
      </c>
    </row>
    <row r="642">
      <c r="A642" s="6" t="n">
        <v>641</v>
      </c>
      <c r="B642" s="13" t="n">
        <v>43991</v>
      </c>
      <c r="C642" s="6" t="inlineStr">
        <is>
          <t>A9</t>
        </is>
      </c>
      <c r="D642" s="6" t="n">
        <v>13</v>
      </c>
      <c r="E642" s="15" t="n">
        <v>122</v>
      </c>
      <c r="F642" s="5" t="inlineStr">
        <is>
          <t>нет</t>
        </is>
      </c>
      <c r="G642" s="8" t="n"/>
      <c r="H642">
        <f>VLOOKUP(C642,Автомобили!$A$2:$G$1000,3,0)</f>
        <v/>
      </c>
      <c r="I642">
        <f>VLOOKUP(D642,Клиенты!$A$2:$D$1000,2,0)</f>
        <v/>
      </c>
      <c r="J642">
        <f>IF(AND(H642="Kaptur",I642="Окраинов Л.Г.",YEAR(B642)=2020),E642,0)</f>
        <v/>
      </c>
    </row>
    <row r="643">
      <c r="A643" s="6" t="n">
        <v>642</v>
      </c>
      <c r="B643" s="13" t="n">
        <v>43991</v>
      </c>
      <c r="C643" s="6" t="inlineStr">
        <is>
          <t>A31</t>
        </is>
      </c>
      <c r="D643" s="6" t="n">
        <v>9</v>
      </c>
      <c r="E643" s="15" t="n">
        <v>349</v>
      </c>
      <c r="F643" s="5" t="inlineStr">
        <is>
          <t>нет</t>
        </is>
      </c>
      <c r="G643" s="8" t="n"/>
      <c r="H643">
        <f>VLOOKUP(C643,Автомобили!$A$2:$G$1000,3,0)</f>
        <v/>
      </c>
      <c r="I643">
        <f>VLOOKUP(D643,Клиенты!$A$2:$D$1000,2,0)</f>
        <v/>
      </c>
      <c r="J643">
        <f>IF(AND(H643="Kaptur",I643="Окраинов Л.Г.",YEAR(B643)=2020),E643,0)</f>
        <v/>
      </c>
    </row>
    <row r="644">
      <c r="A644" s="6" t="n">
        <v>643</v>
      </c>
      <c r="B644" s="13" t="n">
        <v>43991</v>
      </c>
      <c r="C644" s="6" t="inlineStr">
        <is>
          <t>A9</t>
        </is>
      </c>
      <c r="D644" s="6" t="n">
        <v>1</v>
      </c>
      <c r="E644" s="15" t="n">
        <v>335</v>
      </c>
      <c r="F644" s="5" t="inlineStr">
        <is>
          <t>нет</t>
        </is>
      </c>
      <c r="G644" s="8" t="n"/>
      <c r="H644">
        <f>VLOOKUP(C644,Автомобили!$A$2:$G$1000,3,0)</f>
        <v/>
      </c>
      <c r="I644">
        <f>VLOOKUP(D644,Клиенты!$A$2:$D$1000,2,0)</f>
        <v/>
      </c>
      <c r="J644">
        <f>IF(AND(H644="Kaptur",I644="Окраинов Л.Г.",YEAR(B644)=2020),E644,0)</f>
        <v/>
      </c>
    </row>
    <row r="645">
      <c r="A645" s="6" t="n">
        <v>644</v>
      </c>
      <c r="B645" s="13" t="n">
        <v>43991</v>
      </c>
      <c r="C645" s="6" t="inlineStr">
        <is>
          <t>A33</t>
        </is>
      </c>
      <c r="D645" s="6" t="n">
        <v>4</v>
      </c>
      <c r="E645" s="15" t="n">
        <v>156</v>
      </c>
      <c r="F645" s="5" t="inlineStr">
        <is>
          <t>нет</t>
        </is>
      </c>
      <c r="G645" s="8" t="n"/>
      <c r="H645">
        <f>VLOOKUP(C645,Автомобили!$A$2:$G$1000,3,0)</f>
        <v/>
      </c>
      <c r="I645">
        <f>VLOOKUP(D645,Клиенты!$A$2:$D$1000,2,0)</f>
        <v/>
      </c>
      <c r="J645">
        <f>IF(AND(H645="Kaptur",I645="Окраинов Л.Г.",YEAR(B645)=2020),E645,0)</f>
        <v/>
      </c>
    </row>
    <row r="646">
      <c r="A646" s="6" t="n">
        <v>645</v>
      </c>
      <c r="B646" s="13" t="n">
        <v>43992</v>
      </c>
      <c r="C646" s="6" t="inlineStr">
        <is>
          <t>A41</t>
        </is>
      </c>
      <c r="D646" s="6" t="n">
        <v>2</v>
      </c>
      <c r="E646" s="15" t="n">
        <v>433</v>
      </c>
      <c r="F646" s="5" t="inlineStr">
        <is>
          <t>нет</t>
        </is>
      </c>
      <c r="G646" s="8" t="n"/>
      <c r="H646">
        <f>VLOOKUP(C646,Автомобили!$A$2:$G$1000,3,0)</f>
        <v/>
      </c>
      <c r="I646">
        <f>VLOOKUP(D646,Клиенты!$A$2:$D$1000,2,0)</f>
        <v/>
      </c>
      <c r="J646">
        <f>IF(AND(H646="Kaptur",I646="Окраинов Л.Г.",YEAR(B646)=2020),E646,0)</f>
        <v/>
      </c>
    </row>
    <row r="647">
      <c r="A647" s="6" t="n">
        <v>646</v>
      </c>
      <c r="B647" s="13" t="n">
        <v>43992</v>
      </c>
      <c r="C647" s="6" t="inlineStr">
        <is>
          <t>A27</t>
        </is>
      </c>
      <c r="D647" s="6" t="n">
        <v>8</v>
      </c>
      <c r="E647" s="15" t="n">
        <v>129</v>
      </c>
      <c r="F647" s="5" t="inlineStr">
        <is>
          <t>нет</t>
        </is>
      </c>
      <c r="G647" s="8" t="n"/>
      <c r="H647">
        <f>VLOOKUP(C647,Автомобили!$A$2:$G$1000,3,0)</f>
        <v/>
      </c>
      <c r="I647">
        <f>VLOOKUP(D647,Клиенты!$A$2:$D$1000,2,0)</f>
        <v/>
      </c>
      <c r="J647">
        <f>IF(AND(H647="Kaptur",I647="Окраинов Л.Г.",YEAR(B647)=2020),E647,0)</f>
        <v/>
      </c>
    </row>
    <row r="648">
      <c r="A648" s="6" t="n">
        <v>647</v>
      </c>
      <c r="B648" s="13" t="n">
        <v>43992</v>
      </c>
      <c r="C648" s="6" t="inlineStr">
        <is>
          <t>A28</t>
        </is>
      </c>
      <c r="D648" s="6" t="n">
        <v>8</v>
      </c>
      <c r="E648" s="15" t="n">
        <v>253</v>
      </c>
      <c r="F648" s="5" t="inlineStr">
        <is>
          <t>нет</t>
        </is>
      </c>
      <c r="G648" s="8" t="n"/>
      <c r="H648">
        <f>VLOOKUP(C648,Автомобили!$A$2:$G$1000,3,0)</f>
        <v/>
      </c>
      <c r="I648">
        <f>VLOOKUP(D648,Клиенты!$A$2:$D$1000,2,0)</f>
        <v/>
      </c>
      <c r="J648">
        <f>IF(AND(H648="Kaptur",I648="Окраинов Л.Г.",YEAR(B648)=2020),E648,0)</f>
        <v/>
      </c>
    </row>
    <row r="649">
      <c r="A649" s="6" t="n">
        <v>648</v>
      </c>
      <c r="B649" s="13" t="n">
        <v>43992</v>
      </c>
      <c r="C649" s="6" t="inlineStr">
        <is>
          <t>A20</t>
        </is>
      </c>
      <c r="D649" s="6" t="n">
        <v>6</v>
      </c>
      <c r="E649" s="15" t="n">
        <v>398</v>
      </c>
      <c r="F649" s="5" t="inlineStr">
        <is>
          <t>нет</t>
        </is>
      </c>
      <c r="G649" s="8" t="n"/>
      <c r="H649">
        <f>VLOOKUP(C649,Автомобили!$A$2:$G$1000,3,0)</f>
        <v/>
      </c>
      <c r="I649">
        <f>VLOOKUP(D649,Клиенты!$A$2:$D$1000,2,0)</f>
        <v/>
      </c>
      <c r="J649">
        <f>IF(AND(H649="Kaptur",I649="Окраинов Л.Г.",YEAR(B649)=2020),E649,0)</f>
        <v/>
      </c>
    </row>
    <row r="650">
      <c r="A650" s="6" t="n">
        <v>649</v>
      </c>
      <c r="B650" s="13" t="n">
        <v>43993</v>
      </c>
      <c r="C650" s="6" t="inlineStr">
        <is>
          <t>A40</t>
        </is>
      </c>
      <c r="D650" s="6" t="n">
        <v>7</v>
      </c>
      <c r="E650" s="15" t="n">
        <v>289</v>
      </c>
      <c r="F650" s="5" t="inlineStr">
        <is>
          <t>нет</t>
        </is>
      </c>
      <c r="G650" s="8" t="n"/>
      <c r="H650">
        <f>VLOOKUP(C650,Автомобили!$A$2:$G$1000,3,0)</f>
        <v/>
      </c>
      <c r="I650">
        <f>VLOOKUP(D650,Клиенты!$A$2:$D$1000,2,0)</f>
        <v/>
      </c>
      <c r="J650">
        <f>IF(AND(H650="Kaptur",I650="Окраинов Л.Г.",YEAR(B650)=2020),E650,0)</f>
        <v/>
      </c>
    </row>
    <row r="651">
      <c r="A651" s="6" t="n">
        <v>650</v>
      </c>
      <c r="B651" s="13" t="n">
        <v>43993</v>
      </c>
      <c r="C651" s="6" t="inlineStr">
        <is>
          <t>A60</t>
        </is>
      </c>
      <c r="D651" s="6" t="n">
        <v>8</v>
      </c>
      <c r="E651" s="15" t="n">
        <v>325</v>
      </c>
      <c r="F651" s="5" t="inlineStr">
        <is>
          <t>нет</t>
        </is>
      </c>
      <c r="G651" s="8" t="n"/>
      <c r="H651">
        <f>VLOOKUP(C651,Автомобили!$A$2:$G$1000,3,0)</f>
        <v/>
      </c>
      <c r="I651">
        <f>VLOOKUP(D651,Клиенты!$A$2:$D$1000,2,0)</f>
        <v/>
      </c>
      <c r="J651">
        <f>IF(AND(H651="Kaptur",I651="Окраинов Л.Г.",YEAR(B651)=2020),E651,0)</f>
        <v/>
      </c>
    </row>
    <row r="652">
      <c r="A652" s="6" t="n">
        <v>651</v>
      </c>
      <c r="B652" s="13" t="n">
        <v>43993</v>
      </c>
      <c r="C652" s="6" t="inlineStr">
        <is>
          <t>A5</t>
        </is>
      </c>
      <c r="D652" s="6" t="n">
        <v>7</v>
      </c>
      <c r="E652" s="15" t="n">
        <v>415</v>
      </c>
      <c r="F652" s="5" t="inlineStr">
        <is>
          <t>нет</t>
        </is>
      </c>
      <c r="G652" s="7" t="n"/>
      <c r="H652">
        <f>VLOOKUP(C652,Автомобили!$A$2:$G$1000,3,0)</f>
        <v/>
      </c>
      <c r="I652">
        <f>VLOOKUP(D652,Клиенты!$A$2:$D$1000,2,0)</f>
        <v/>
      </c>
      <c r="J652">
        <f>IF(AND(H652="Kaptur",I652="Окраинов Л.Г.",YEAR(B652)=2020),E652,0)</f>
        <v/>
      </c>
    </row>
    <row r="653">
      <c r="A653" s="6" t="n">
        <v>652</v>
      </c>
      <c r="B653" s="13" t="n">
        <v>43993</v>
      </c>
      <c r="C653" s="6" t="inlineStr">
        <is>
          <t>A63</t>
        </is>
      </c>
      <c r="D653" s="6" t="n">
        <v>12</v>
      </c>
      <c r="E653" s="15" t="n">
        <v>267</v>
      </c>
      <c r="F653" s="5" t="inlineStr">
        <is>
          <t>нет</t>
        </is>
      </c>
      <c r="G653" s="7" t="n"/>
      <c r="H653">
        <f>VLOOKUP(C653,Автомобили!$A$2:$G$1000,3,0)</f>
        <v/>
      </c>
      <c r="I653">
        <f>VLOOKUP(D653,Клиенты!$A$2:$D$1000,2,0)</f>
        <v/>
      </c>
      <c r="J653">
        <f>IF(AND(H653="Kaptur",I653="Окраинов Л.Г.",YEAR(B653)=2020),E653,0)</f>
        <v/>
      </c>
    </row>
    <row r="654">
      <c r="A654" s="6" t="n">
        <v>653</v>
      </c>
      <c r="B654" s="13" t="n">
        <v>43994</v>
      </c>
      <c r="C654" s="6" t="inlineStr">
        <is>
          <t>A28</t>
        </is>
      </c>
      <c r="D654" s="6" t="n">
        <v>10</v>
      </c>
      <c r="E654" s="15" t="n">
        <v>323</v>
      </c>
      <c r="F654" s="5" t="inlineStr">
        <is>
          <t>нет</t>
        </is>
      </c>
      <c r="G654" s="7" t="n"/>
      <c r="H654">
        <f>VLOOKUP(C654,Автомобили!$A$2:$G$1000,3,0)</f>
        <v/>
      </c>
      <c r="I654">
        <f>VLOOKUP(D654,Клиенты!$A$2:$D$1000,2,0)</f>
        <v/>
      </c>
      <c r="J654">
        <f>IF(AND(H654="Kaptur",I654="Окраинов Л.Г.",YEAR(B654)=2020),E654,0)</f>
        <v/>
      </c>
    </row>
    <row r="655">
      <c r="A655" s="6" t="n">
        <v>654</v>
      </c>
      <c r="B655" s="13" t="n">
        <v>43994</v>
      </c>
      <c r="C655" s="6" t="inlineStr">
        <is>
          <t>A1</t>
        </is>
      </c>
      <c r="D655" s="6" t="n">
        <v>7</v>
      </c>
      <c r="E655" s="15" t="n">
        <v>372</v>
      </c>
      <c r="F655" s="5" t="inlineStr">
        <is>
          <t>нет</t>
        </is>
      </c>
      <c r="G655" s="7" t="n"/>
      <c r="H655">
        <f>VLOOKUP(C655,Автомобили!$A$2:$G$1000,3,0)</f>
        <v/>
      </c>
      <c r="I655">
        <f>VLOOKUP(D655,Клиенты!$A$2:$D$1000,2,0)</f>
        <v/>
      </c>
      <c r="J655">
        <f>IF(AND(H655="Kaptur",I655="Окраинов Л.Г.",YEAR(B655)=2020),E655,0)</f>
        <v/>
      </c>
    </row>
    <row r="656">
      <c r="A656" s="6" t="n">
        <v>655</v>
      </c>
      <c r="B656" s="13" t="n">
        <v>43994</v>
      </c>
      <c r="C656" s="6" t="inlineStr">
        <is>
          <t>A41</t>
        </is>
      </c>
      <c r="D656" s="6" t="n">
        <v>4</v>
      </c>
      <c r="E656" s="15" t="n">
        <v>160</v>
      </c>
      <c r="F656" s="5" t="inlineStr">
        <is>
          <t>нет</t>
        </is>
      </c>
      <c r="G656" s="7" t="n"/>
      <c r="H656">
        <f>VLOOKUP(C656,Автомобили!$A$2:$G$1000,3,0)</f>
        <v/>
      </c>
      <c r="I656">
        <f>VLOOKUP(D656,Клиенты!$A$2:$D$1000,2,0)</f>
        <v/>
      </c>
      <c r="J656">
        <f>IF(AND(H656="Kaptur",I656="Окраинов Л.Г.",YEAR(B656)=2020),E656,0)</f>
        <v/>
      </c>
    </row>
    <row r="657">
      <c r="A657" s="6" t="n">
        <v>656</v>
      </c>
      <c r="B657" s="13" t="n">
        <v>43994</v>
      </c>
      <c r="C657" s="6" t="inlineStr">
        <is>
          <t>A46</t>
        </is>
      </c>
      <c r="D657" s="6" t="n">
        <v>11</v>
      </c>
      <c r="E657" s="15" t="n">
        <v>161</v>
      </c>
      <c r="F657" s="5" t="inlineStr">
        <is>
          <t>нет</t>
        </is>
      </c>
      <c r="G657" s="7" t="n"/>
      <c r="H657">
        <f>VLOOKUP(C657,Автомобили!$A$2:$G$1000,3,0)</f>
        <v/>
      </c>
      <c r="I657">
        <f>VLOOKUP(D657,Клиенты!$A$2:$D$1000,2,0)</f>
        <v/>
      </c>
      <c r="J657">
        <f>IF(AND(H657="Kaptur",I657="Окраинов Л.Г.",YEAR(B657)=2020),E657,0)</f>
        <v/>
      </c>
    </row>
    <row r="658">
      <c r="A658" s="6" t="n">
        <v>657</v>
      </c>
      <c r="B658" s="13" t="n">
        <v>43995</v>
      </c>
      <c r="C658" s="6" t="inlineStr">
        <is>
          <t>A64</t>
        </is>
      </c>
      <c r="D658" s="6" t="n">
        <v>12</v>
      </c>
      <c r="E658" s="15" t="n">
        <v>206</v>
      </c>
      <c r="F658" s="5" t="inlineStr">
        <is>
          <t>нет</t>
        </is>
      </c>
      <c r="G658" s="7" t="n"/>
      <c r="H658">
        <f>VLOOKUP(C658,Автомобили!$A$2:$G$1000,3,0)</f>
        <v/>
      </c>
      <c r="I658">
        <f>VLOOKUP(D658,Клиенты!$A$2:$D$1000,2,0)</f>
        <v/>
      </c>
      <c r="J658">
        <f>IF(AND(H658="Kaptur",I658="Окраинов Л.Г.",YEAR(B658)=2020),E658,0)</f>
        <v/>
      </c>
    </row>
    <row r="659">
      <c r="A659" s="6" t="n">
        <v>658</v>
      </c>
      <c r="B659" s="13" t="n">
        <v>43995</v>
      </c>
      <c r="C659" s="6" t="inlineStr">
        <is>
          <t>A47</t>
        </is>
      </c>
      <c r="D659" s="6" t="n">
        <v>10</v>
      </c>
      <c r="E659" s="15" t="n">
        <v>412</v>
      </c>
      <c r="F659" s="5" t="inlineStr">
        <is>
          <t>нет</t>
        </is>
      </c>
      <c r="G659" s="7" t="n"/>
      <c r="H659">
        <f>VLOOKUP(C659,Автомобили!$A$2:$G$1000,3,0)</f>
        <v/>
      </c>
      <c r="I659">
        <f>VLOOKUP(D659,Клиенты!$A$2:$D$1000,2,0)</f>
        <v/>
      </c>
      <c r="J659">
        <f>IF(AND(H659="Kaptur",I659="Окраинов Л.Г.",YEAR(B659)=2020),E659,0)</f>
        <v/>
      </c>
    </row>
    <row r="660">
      <c r="A660" s="6" t="n">
        <v>659</v>
      </c>
      <c r="B660" s="13" t="n">
        <v>43995</v>
      </c>
      <c r="C660" s="6" t="inlineStr">
        <is>
          <t>A64</t>
        </is>
      </c>
      <c r="D660" s="6" t="n">
        <v>7</v>
      </c>
      <c r="E660" s="15" t="n">
        <v>97</v>
      </c>
      <c r="F660" s="5" t="inlineStr">
        <is>
          <t>нет</t>
        </is>
      </c>
      <c r="G660" s="7" t="n"/>
      <c r="H660">
        <f>VLOOKUP(C660,Автомобили!$A$2:$G$1000,3,0)</f>
        <v/>
      </c>
      <c r="I660">
        <f>VLOOKUP(D660,Клиенты!$A$2:$D$1000,2,0)</f>
        <v/>
      </c>
      <c r="J660">
        <f>IF(AND(H660="Kaptur",I660="Окраинов Л.Г.",YEAR(B660)=2020),E660,0)</f>
        <v/>
      </c>
    </row>
    <row r="661">
      <c r="A661" s="6" t="n">
        <v>660</v>
      </c>
      <c r="B661" s="13" t="n">
        <v>43995</v>
      </c>
      <c r="C661" s="6" t="inlineStr">
        <is>
          <t>A17</t>
        </is>
      </c>
      <c r="D661" s="6" t="n">
        <v>1</v>
      </c>
      <c r="E661" s="15" t="n">
        <v>220</v>
      </c>
      <c r="F661" s="5" t="inlineStr">
        <is>
          <t>нет</t>
        </is>
      </c>
      <c r="G661" s="7" t="n"/>
      <c r="H661">
        <f>VLOOKUP(C661,Автомобили!$A$2:$G$1000,3,0)</f>
        <v/>
      </c>
      <c r="I661">
        <f>VLOOKUP(D661,Клиенты!$A$2:$D$1000,2,0)</f>
        <v/>
      </c>
      <c r="J661">
        <f>IF(AND(H661="Kaptur",I661="Окраинов Л.Г.",YEAR(B661)=2020),E661,0)</f>
        <v/>
      </c>
    </row>
    <row r="662">
      <c r="A662" s="6" t="n">
        <v>661</v>
      </c>
      <c r="B662" s="13" t="n">
        <v>43996</v>
      </c>
      <c r="C662" s="6" t="inlineStr">
        <is>
          <t>A23</t>
        </is>
      </c>
      <c r="D662" s="6" t="n">
        <v>1</v>
      </c>
      <c r="E662" s="15" t="n">
        <v>397</v>
      </c>
      <c r="F662" s="5" t="inlineStr">
        <is>
          <t>нет</t>
        </is>
      </c>
      <c r="G662" s="7" t="n"/>
      <c r="H662">
        <f>VLOOKUP(C662,Автомобили!$A$2:$G$1000,3,0)</f>
        <v/>
      </c>
      <c r="I662">
        <f>VLOOKUP(D662,Клиенты!$A$2:$D$1000,2,0)</f>
        <v/>
      </c>
      <c r="J662">
        <f>IF(AND(H662="Kaptur",I662="Окраинов Л.Г.",YEAR(B662)=2020),E662,0)</f>
        <v/>
      </c>
    </row>
    <row r="663">
      <c r="A663" s="6" t="n">
        <v>662</v>
      </c>
      <c r="B663" s="13" t="n">
        <v>43996</v>
      </c>
      <c r="C663" s="6" t="inlineStr">
        <is>
          <t>A24</t>
        </is>
      </c>
      <c r="D663" s="6" t="n">
        <v>8</v>
      </c>
      <c r="E663" s="15" t="n">
        <v>149</v>
      </c>
      <c r="F663" s="5" t="inlineStr">
        <is>
          <t>нет</t>
        </is>
      </c>
      <c r="G663" s="7" t="n"/>
      <c r="H663">
        <f>VLOOKUP(C663,Автомобили!$A$2:$G$1000,3,0)</f>
        <v/>
      </c>
      <c r="I663">
        <f>VLOOKUP(D663,Клиенты!$A$2:$D$1000,2,0)</f>
        <v/>
      </c>
      <c r="J663">
        <f>IF(AND(H663="Kaptur",I663="Окраинов Л.Г.",YEAR(B663)=2020),E663,0)</f>
        <v/>
      </c>
    </row>
    <row r="664">
      <c r="A664" s="6" t="n">
        <v>663</v>
      </c>
      <c r="B664" s="13" t="n">
        <v>43996</v>
      </c>
      <c r="C664" s="6" t="inlineStr">
        <is>
          <t>A1</t>
        </is>
      </c>
      <c r="D664" s="6" t="n">
        <v>1</v>
      </c>
      <c r="E664" s="15" t="n">
        <v>276</v>
      </c>
      <c r="F664" s="5" t="inlineStr">
        <is>
          <t>нет</t>
        </is>
      </c>
      <c r="G664" s="7" t="n"/>
      <c r="H664">
        <f>VLOOKUP(C664,Автомобили!$A$2:$G$1000,3,0)</f>
        <v/>
      </c>
      <c r="I664">
        <f>VLOOKUP(D664,Клиенты!$A$2:$D$1000,2,0)</f>
        <v/>
      </c>
      <c r="J664">
        <f>IF(AND(H664="Kaptur",I664="Окраинов Л.Г.",YEAR(B664)=2020),E664,0)</f>
        <v/>
      </c>
    </row>
    <row r="665">
      <c r="A665" s="6" t="n">
        <v>664</v>
      </c>
      <c r="B665" s="13" t="n">
        <v>43996</v>
      </c>
      <c r="C665" s="6" t="inlineStr">
        <is>
          <t>A15</t>
        </is>
      </c>
      <c r="D665" s="6" t="n">
        <v>1</v>
      </c>
      <c r="E665" s="15" t="n">
        <v>199</v>
      </c>
      <c r="F665" s="5" t="inlineStr">
        <is>
          <t>нет</t>
        </is>
      </c>
      <c r="G665" s="7" t="n"/>
      <c r="H665">
        <f>VLOOKUP(C665,Автомобили!$A$2:$G$1000,3,0)</f>
        <v/>
      </c>
      <c r="I665">
        <f>VLOOKUP(D665,Клиенты!$A$2:$D$1000,2,0)</f>
        <v/>
      </c>
      <c r="J665">
        <f>IF(AND(H665="Kaptur",I665="Окраинов Л.Г.",YEAR(B665)=2020),E665,0)</f>
        <v/>
      </c>
    </row>
    <row r="666">
      <c r="A666" s="6" t="n">
        <v>665</v>
      </c>
      <c r="B666" s="13" t="n">
        <v>43997</v>
      </c>
      <c r="C666" s="6" t="inlineStr">
        <is>
          <t>A44</t>
        </is>
      </c>
      <c r="D666" s="6" t="n">
        <v>15</v>
      </c>
      <c r="E666" s="15" t="n">
        <v>148</v>
      </c>
      <c r="F666" s="5" t="inlineStr">
        <is>
          <t>нет</t>
        </is>
      </c>
      <c r="G666" s="7" t="n"/>
      <c r="H666">
        <f>VLOOKUP(C666,Автомобили!$A$2:$G$1000,3,0)</f>
        <v/>
      </c>
      <c r="I666">
        <f>VLOOKUP(D666,Клиенты!$A$2:$D$1000,2,0)</f>
        <v/>
      </c>
      <c r="J666">
        <f>IF(AND(H666="Kaptur",I666="Окраинов Л.Г.",YEAR(B666)=2020),E666,0)</f>
        <v/>
      </c>
    </row>
    <row r="667">
      <c r="A667" s="6" t="n">
        <v>666</v>
      </c>
      <c r="B667" s="13" t="n">
        <v>43997</v>
      </c>
      <c r="C667" s="6" t="inlineStr">
        <is>
          <t>A64</t>
        </is>
      </c>
      <c r="D667" s="6" t="n">
        <v>8</v>
      </c>
      <c r="E667" s="15" t="n">
        <v>418</v>
      </c>
      <c r="F667" s="5" t="inlineStr">
        <is>
          <t>нет</t>
        </is>
      </c>
      <c r="G667" s="7" t="n"/>
      <c r="H667">
        <f>VLOOKUP(C667,Автомобили!$A$2:$G$1000,3,0)</f>
        <v/>
      </c>
      <c r="I667">
        <f>VLOOKUP(D667,Клиенты!$A$2:$D$1000,2,0)</f>
        <v/>
      </c>
      <c r="J667">
        <f>IF(AND(H667="Kaptur",I667="Окраинов Л.Г.",YEAR(B667)=2020),E667,0)</f>
        <v/>
      </c>
    </row>
    <row r="668">
      <c r="A668" s="6" t="n">
        <v>667</v>
      </c>
      <c r="B668" s="13" t="n">
        <v>43997</v>
      </c>
      <c r="C668" s="6" t="inlineStr">
        <is>
          <t>A59</t>
        </is>
      </c>
      <c r="D668" s="6" t="n">
        <v>1</v>
      </c>
      <c r="E668" s="15" t="n">
        <v>206</v>
      </c>
      <c r="F668" s="5" t="inlineStr">
        <is>
          <t>нет</t>
        </is>
      </c>
      <c r="G668" s="7" t="n"/>
      <c r="H668">
        <f>VLOOKUP(C668,Автомобили!$A$2:$G$1000,3,0)</f>
        <v/>
      </c>
      <c r="I668">
        <f>VLOOKUP(D668,Клиенты!$A$2:$D$1000,2,0)</f>
        <v/>
      </c>
      <c r="J668">
        <f>IF(AND(H668="Kaptur",I668="Окраинов Л.Г.",YEAR(B668)=2020),E668,0)</f>
        <v/>
      </c>
    </row>
    <row r="669">
      <c r="A669" s="6" t="n">
        <v>668</v>
      </c>
      <c r="B669" s="13" t="n">
        <v>43997</v>
      </c>
      <c r="C669" s="6" t="inlineStr">
        <is>
          <t>A15</t>
        </is>
      </c>
      <c r="D669" s="6" t="n">
        <v>14</v>
      </c>
      <c r="E669" s="15" t="n">
        <v>285</v>
      </c>
      <c r="F669" s="5" t="inlineStr">
        <is>
          <t>нет</t>
        </is>
      </c>
      <c r="G669" s="7" t="n"/>
      <c r="H669">
        <f>VLOOKUP(C669,Автомобили!$A$2:$G$1000,3,0)</f>
        <v/>
      </c>
      <c r="I669">
        <f>VLOOKUP(D669,Клиенты!$A$2:$D$1000,2,0)</f>
        <v/>
      </c>
      <c r="J669">
        <f>IF(AND(H669="Kaptur",I669="Окраинов Л.Г.",YEAR(B669)=2020),E669,0)</f>
        <v/>
      </c>
    </row>
    <row r="670">
      <c r="A670" s="6" t="n">
        <v>669</v>
      </c>
      <c r="B670" s="13" t="n">
        <v>43998</v>
      </c>
      <c r="C670" s="6" t="inlineStr">
        <is>
          <t>A2</t>
        </is>
      </c>
      <c r="D670" s="6" t="n">
        <v>1</v>
      </c>
      <c r="E670" s="15" t="n">
        <v>198</v>
      </c>
      <c r="F670" s="5" t="inlineStr">
        <is>
          <t>нет</t>
        </is>
      </c>
      <c r="G670" s="7" t="n"/>
      <c r="H670">
        <f>VLOOKUP(C670,Автомобили!$A$2:$G$1000,3,0)</f>
        <v/>
      </c>
      <c r="I670">
        <f>VLOOKUP(D670,Клиенты!$A$2:$D$1000,2,0)</f>
        <v/>
      </c>
      <c r="J670">
        <f>IF(AND(H670="Kaptur",I670="Окраинов Л.Г.",YEAR(B670)=2020),E670,0)</f>
        <v/>
      </c>
    </row>
    <row r="671">
      <c r="A671" s="6" t="n">
        <v>670</v>
      </c>
      <c r="B671" s="13" t="n">
        <v>43998</v>
      </c>
      <c r="C671" s="6" t="inlineStr">
        <is>
          <t>A45</t>
        </is>
      </c>
      <c r="D671" s="6" t="n">
        <v>4</v>
      </c>
      <c r="E671" s="15" t="n">
        <v>133</v>
      </c>
      <c r="F671" s="5" t="inlineStr">
        <is>
          <t>нет</t>
        </is>
      </c>
      <c r="G671" s="7" t="n"/>
      <c r="H671">
        <f>VLOOKUP(C671,Автомобили!$A$2:$G$1000,3,0)</f>
        <v/>
      </c>
      <c r="I671">
        <f>VLOOKUP(D671,Клиенты!$A$2:$D$1000,2,0)</f>
        <v/>
      </c>
      <c r="J671">
        <f>IF(AND(H671="Kaptur",I671="Окраинов Л.Г.",YEAR(B671)=2020),E671,0)</f>
        <v/>
      </c>
    </row>
    <row r="672">
      <c r="A672" s="6" t="n">
        <v>671</v>
      </c>
      <c r="B672" s="13" t="n">
        <v>43998</v>
      </c>
      <c r="C672" s="6" t="inlineStr">
        <is>
          <t>A20</t>
        </is>
      </c>
      <c r="D672" s="6" t="n">
        <v>2</v>
      </c>
      <c r="E672" s="15" t="n">
        <v>128</v>
      </c>
      <c r="F672" s="5" t="inlineStr">
        <is>
          <t>нет</t>
        </is>
      </c>
      <c r="G672" s="7" t="n"/>
      <c r="H672">
        <f>VLOOKUP(C672,Автомобили!$A$2:$G$1000,3,0)</f>
        <v/>
      </c>
      <c r="I672">
        <f>VLOOKUP(D672,Клиенты!$A$2:$D$1000,2,0)</f>
        <v/>
      </c>
      <c r="J672">
        <f>IF(AND(H672="Kaptur",I672="Окраинов Л.Г.",YEAR(B672)=2020),E672,0)</f>
        <v/>
      </c>
    </row>
    <row r="673">
      <c r="A673" s="6" t="n">
        <v>672</v>
      </c>
      <c r="B673" s="13" t="n">
        <v>43998</v>
      </c>
      <c r="C673" s="6" t="inlineStr">
        <is>
          <t>A58</t>
        </is>
      </c>
      <c r="D673" s="6" t="n">
        <v>11</v>
      </c>
      <c r="E673" s="15" t="n">
        <v>349</v>
      </c>
      <c r="F673" s="5" t="inlineStr">
        <is>
          <t>нет</t>
        </is>
      </c>
      <c r="G673" s="7" t="n"/>
      <c r="H673">
        <f>VLOOKUP(C673,Автомобили!$A$2:$G$1000,3,0)</f>
        <v/>
      </c>
      <c r="I673">
        <f>VLOOKUP(D673,Клиенты!$A$2:$D$1000,2,0)</f>
        <v/>
      </c>
      <c r="J673">
        <f>IF(AND(H673="Kaptur",I673="Окраинов Л.Г.",YEAR(B673)=2020),E673,0)</f>
        <v/>
      </c>
    </row>
    <row r="674">
      <c r="A674" s="6" t="n">
        <v>673</v>
      </c>
      <c r="B674" s="13" t="n">
        <v>43999</v>
      </c>
      <c r="C674" s="6" t="inlineStr">
        <is>
          <t>A46</t>
        </is>
      </c>
      <c r="D674" s="6" t="n">
        <v>12</v>
      </c>
      <c r="E674" s="15" t="n">
        <v>359</v>
      </c>
      <c r="F674" s="5" t="inlineStr">
        <is>
          <t>нет</t>
        </is>
      </c>
      <c r="G674" s="7" t="n"/>
      <c r="H674">
        <f>VLOOKUP(C674,Автомобили!$A$2:$G$1000,3,0)</f>
        <v/>
      </c>
      <c r="I674">
        <f>VLOOKUP(D674,Клиенты!$A$2:$D$1000,2,0)</f>
        <v/>
      </c>
      <c r="J674">
        <f>IF(AND(H674="Kaptur",I674="Окраинов Л.Г.",YEAR(B674)=2020),E674,0)</f>
        <v/>
      </c>
    </row>
    <row r="675">
      <c r="A675" s="6" t="n">
        <v>674</v>
      </c>
      <c r="B675" s="13" t="n">
        <v>43999</v>
      </c>
      <c r="C675" s="6" t="inlineStr">
        <is>
          <t>A54</t>
        </is>
      </c>
      <c r="D675" s="6" t="n">
        <v>6</v>
      </c>
      <c r="E675" s="15" t="n">
        <v>202</v>
      </c>
      <c r="F675" s="5" t="inlineStr">
        <is>
          <t>нет</t>
        </is>
      </c>
      <c r="G675" s="7" t="n"/>
      <c r="H675">
        <f>VLOOKUP(C675,Автомобили!$A$2:$G$1000,3,0)</f>
        <v/>
      </c>
      <c r="I675">
        <f>VLOOKUP(D675,Клиенты!$A$2:$D$1000,2,0)</f>
        <v/>
      </c>
      <c r="J675">
        <f>IF(AND(H675="Kaptur",I675="Окраинов Л.Г.",YEAR(B675)=2020),E675,0)</f>
        <v/>
      </c>
    </row>
    <row r="676">
      <c r="A676" s="6" t="n">
        <v>675</v>
      </c>
      <c r="B676" s="13" t="n">
        <v>43999</v>
      </c>
      <c r="C676" s="6" t="inlineStr">
        <is>
          <t>A53</t>
        </is>
      </c>
      <c r="D676" s="6" t="n">
        <v>4</v>
      </c>
      <c r="E676" s="15" t="n">
        <v>449</v>
      </c>
      <c r="F676" s="5" t="inlineStr">
        <is>
          <t>нет</t>
        </is>
      </c>
      <c r="G676" s="7" t="n"/>
      <c r="H676">
        <f>VLOOKUP(C676,Автомобили!$A$2:$G$1000,3,0)</f>
        <v/>
      </c>
      <c r="I676">
        <f>VLOOKUP(D676,Клиенты!$A$2:$D$1000,2,0)</f>
        <v/>
      </c>
      <c r="J676">
        <f>IF(AND(H676="Kaptur",I676="Окраинов Л.Г.",YEAR(B676)=2020),E676,0)</f>
        <v/>
      </c>
    </row>
    <row r="677">
      <c r="A677" s="6" t="n">
        <v>676</v>
      </c>
      <c r="B677" s="13" t="n">
        <v>43999</v>
      </c>
      <c r="C677" s="6" t="inlineStr">
        <is>
          <t>A49</t>
        </is>
      </c>
      <c r="D677" s="6" t="n">
        <v>11</v>
      </c>
      <c r="E677" s="15" t="n">
        <v>329</v>
      </c>
      <c r="F677" s="5" t="inlineStr">
        <is>
          <t>нет</t>
        </is>
      </c>
      <c r="G677" s="7" t="n"/>
      <c r="H677">
        <f>VLOOKUP(C677,Автомобили!$A$2:$G$1000,3,0)</f>
        <v/>
      </c>
      <c r="I677">
        <f>VLOOKUP(D677,Клиенты!$A$2:$D$1000,2,0)</f>
        <v/>
      </c>
      <c r="J677">
        <f>IF(AND(H677="Kaptur",I677="Окраинов Л.Г.",YEAR(B677)=2020),E677,0)</f>
        <v/>
      </c>
    </row>
    <row r="678">
      <c r="A678" s="6" t="n">
        <v>677</v>
      </c>
      <c r="B678" s="13" t="n">
        <v>44000</v>
      </c>
      <c r="C678" s="6" t="inlineStr">
        <is>
          <t>A64</t>
        </is>
      </c>
      <c r="D678" s="6" t="n">
        <v>5</v>
      </c>
      <c r="E678" s="15" t="n">
        <v>309</v>
      </c>
      <c r="F678" s="5" t="inlineStr">
        <is>
          <t>нет</t>
        </is>
      </c>
      <c r="G678" s="7" t="n"/>
      <c r="H678">
        <f>VLOOKUP(C678,Автомобили!$A$2:$G$1000,3,0)</f>
        <v/>
      </c>
      <c r="I678">
        <f>VLOOKUP(D678,Клиенты!$A$2:$D$1000,2,0)</f>
        <v/>
      </c>
      <c r="J678">
        <f>IF(AND(H678="Kaptur",I678="Окраинов Л.Г.",YEAR(B678)=2020),E678,0)</f>
        <v/>
      </c>
    </row>
    <row r="679">
      <c r="A679" s="6" t="n">
        <v>678</v>
      </c>
      <c r="B679" s="13" t="n">
        <v>44000</v>
      </c>
      <c r="C679" s="6" t="inlineStr">
        <is>
          <t>A32</t>
        </is>
      </c>
      <c r="D679" s="6" t="n">
        <v>14</v>
      </c>
      <c r="E679" s="15" t="n">
        <v>188</v>
      </c>
      <c r="F679" s="5" t="inlineStr">
        <is>
          <t>нет</t>
        </is>
      </c>
      <c r="G679" s="7" t="n"/>
      <c r="H679">
        <f>VLOOKUP(C679,Автомобили!$A$2:$G$1000,3,0)</f>
        <v/>
      </c>
      <c r="I679">
        <f>VLOOKUP(D679,Клиенты!$A$2:$D$1000,2,0)</f>
        <v/>
      </c>
      <c r="J679">
        <f>IF(AND(H679="Kaptur",I679="Окраинов Л.Г.",YEAR(B679)=2020),E679,0)</f>
        <v/>
      </c>
    </row>
    <row r="680">
      <c r="A680" s="6" t="n">
        <v>679</v>
      </c>
      <c r="B680" s="13" t="n">
        <v>44000</v>
      </c>
      <c r="C680" s="6" t="inlineStr">
        <is>
          <t>A46</t>
        </is>
      </c>
      <c r="D680" s="6" t="n">
        <v>2</v>
      </c>
      <c r="E680" s="15" t="n">
        <v>161</v>
      </c>
      <c r="F680" s="5" t="inlineStr">
        <is>
          <t>нет</t>
        </is>
      </c>
      <c r="G680" s="7" t="n"/>
      <c r="H680">
        <f>VLOOKUP(C680,Автомобили!$A$2:$G$1000,3,0)</f>
        <v/>
      </c>
      <c r="I680">
        <f>VLOOKUP(D680,Клиенты!$A$2:$D$1000,2,0)</f>
        <v/>
      </c>
      <c r="J680">
        <f>IF(AND(H680="Kaptur",I680="Окраинов Л.Г.",YEAR(B680)=2020),E680,0)</f>
        <v/>
      </c>
    </row>
    <row r="681">
      <c r="A681" s="6" t="n">
        <v>680</v>
      </c>
      <c r="B681" s="13" t="n">
        <v>44000</v>
      </c>
      <c r="C681" s="6" t="inlineStr">
        <is>
          <t>A16</t>
        </is>
      </c>
      <c r="D681" s="6" t="n">
        <v>1</v>
      </c>
      <c r="E681" s="15" t="n">
        <v>220</v>
      </c>
      <c r="F681" s="5" t="inlineStr">
        <is>
          <t>нет</t>
        </is>
      </c>
      <c r="G681" s="7" t="n"/>
      <c r="H681">
        <f>VLOOKUP(C681,Автомобили!$A$2:$G$1000,3,0)</f>
        <v/>
      </c>
      <c r="I681">
        <f>VLOOKUP(D681,Клиенты!$A$2:$D$1000,2,0)</f>
        <v/>
      </c>
      <c r="J681">
        <f>IF(AND(H681="Kaptur",I681="Окраинов Л.Г.",YEAR(B681)=2020),E681,0)</f>
        <v/>
      </c>
    </row>
    <row r="682">
      <c r="A682" s="6" t="n">
        <v>681</v>
      </c>
      <c r="B682" s="13" t="n">
        <v>44001</v>
      </c>
      <c r="C682" s="6" t="inlineStr">
        <is>
          <t>A25</t>
        </is>
      </c>
      <c r="D682" s="6" t="n">
        <v>14</v>
      </c>
      <c r="E682" s="15" t="n">
        <v>342</v>
      </c>
      <c r="F682" s="5" t="inlineStr">
        <is>
          <t>нет</t>
        </is>
      </c>
      <c r="G682" s="7" t="n"/>
      <c r="H682">
        <f>VLOOKUP(C682,Автомобили!$A$2:$G$1000,3,0)</f>
        <v/>
      </c>
      <c r="I682">
        <f>VLOOKUP(D682,Клиенты!$A$2:$D$1000,2,0)</f>
        <v/>
      </c>
      <c r="J682">
        <f>IF(AND(H682="Kaptur",I682="Окраинов Л.Г.",YEAR(B682)=2020),E682,0)</f>
        <v/>
      </c>
    </row>
    <row r="683">
      <c r="A683" s="6" t="n">
        <v>682</v>
      </c>
      <c r="B683" s="13" t="n">
        <v>44001</v>
      </c>
      <c r="C683" s="6" t="inlineStr">
        <is>
          <t>A34</t>
        </is>
      </c>
      <c r="D683" s="6" t="n">
        <v>5</v>
      </c>
      <c r="E683" s="15" t="n">
        <v>344</v>
      </c>
      <c r="F683" s="5" t="inlineStr">
        <is>
          <t>нет</t>
        </is>
      </c>
      <c r="G683" s="7" t="n"/>
      <c r="H683">
        <f>VLOOKUP(C683,Автомобили!$A$2:$G$1000,3,0)</f>
        <v/>
      </c>
      <c r="I683">
        <f>VLOOKUP(D683,Клиенты!$A$2:$D$1000,2,0)</f>
        <v/>
      </c>
      <c r="J683">
        <f>IF(AND(H683="Kaptur",I683="Окраинов Л.Г.",YEAR(B683)=2020),E683,0)</f>
        <v/>
      </c>
    </row>
    <row r="684">
      <c r="A684" s="6" t="n">
        <v>683</v>
      </c>
      <c r="B684" s="13" t="n">
        <v>44001</v>
      </c>
      <c r="C684" s="6" t="inlineStr">
        <is>
          <t>A15</t>
        </is>
      </c>
      <c r="D684" s="6" t="n">
        <v>10</v>
      </c>
      <c r="E684" s="15" t="n">
        <v>447</v>
      </c>
      <c r="F684" s="5" t="inlineStr">
        <is>
          <t>нет</t>
        </is>
      </c>
      <c r="G684" s="7" t="n"/>
      <c r="H684">
        <f>VLOOKUP(C684,Автомобили!$A$2:$G$1000,3,0)</f>
        <v/>
      </c>
      <c r="I684">
        <f>VLOOKUP(D684,Клиенты!$A$2:$D$1000,2,0)</f>
        <v/>
      </c>
      <c r="J684">
        <f>IF(AND(H684="Kaptur",I684="Окраинов Л.Г.",YEAR(B684)=2020),E684,0)</f>
        <v/>
      </c>
    </row>
    <row r="685">
      <c r="A685" s="6" t="n">
        <v>684</v>
      </c>
      <c r="B685" s="13" t="n">
        <v>44001</v>
      </c>
      <c r="C685" s="6" t="inlineStr">
        <is>
          <t>A22</t>
        </is>
      </c>
      <c r="D685" s="6" t="n">
        <v>10</v>
      </c>
      <c r="E685" s="15" t="n">
        <v>357</v>
      </c>
      <c r="F685" s="5" t="inlineStr">
        <is>
          <t>нет</t>
        </is>
      </c>
      <c r="G685" s="7" t="n"/>
      <c r="H685">
        <f>VLOOKUP(C685,Автомобили!$A$2:$G$1000,3,0)</f>
        <v/>
      </c>
      <c r="I685">
        <f>VLOOKUP(D685,Клиенты!$A$2:$D$1000,2,0)</f>
        <v/>
      </c>
      <c r="J685">
        <f>IF(AND(H685="Kaptur",I685="Окраинов Л.Г.",YEAR(B685)=2020),E685,0)</f>
        <v/>
      </c>
    </row>
    <row r="686">
      <c r="A686" s="6" t="n">
        <v>685</v>
      </c>
      <c r="B686" s="13" t="n">
        <v>44002</v>
      </c>
      <c r="C686" s="6" t="inlineStr">
        <is>
          <t>A3</t>
        </is>
      </c>
      <c r="D686" s="6" t="n">
        <v>12</v>
      </c>
      <c r="E686" s="15" t="n">
        <v>245</v>
      </c>
      <c r="F686" s="5" t="inlineStr">
        <is>
          <t>нет</t>
        </is>
      </c>
      <c r="G686" s="7" t="n"/>
      <c r="H686">
        <f>VLOOKUP(C686,Автомобили!$A$2:$G$1000,3,0)</f>
        <v/>
      </c>
      <c r="I686">
        <f>VLOOKUP(D686,Клиенты!$A$2:$D$1000,2,0)</f>
        <v/>
      </c>
      <c r="J686">
        <f>IF(AND(H686="Kaptur",I686="Окраинов Л.Г.",YEAR(B686)=2020),E686,0)</f>
        <v/>
      </c>
    </row>
    <row r="687">
      <c r="A687" s="6" t="n">
        <v>686</v>
      </c>
      <c r="B687" s="13" t="n">
        <v>44002</v>
      </c>
      <c r="C687" s="6" t="inlineStr">
        <is>
          <t>A59</t>
        </is>
      </c>
      <c r="D687" s="6" t="n">
        <v>4</v>
      </c>
      <c r="E687" s="15" t="n">
        <v>343</v>
      </c>
      <c r="F687" s="5" t="inlineStr">
        <is>
          <t>нет</t>
        </is>
      </c>
      <c r="G687" s="7" t="n"/>
      <c r="H687">
        <f>VLOOKUP(C687,Автомобили!$A$2:$G$1000,3,0)</f>
        <v/>
      </c>
      <c r="I687">
        <f>VLOOKUP(D687,Клиенты!$A$2:$D$1000,2,0)</f>
        <v/>
      </c>
      <c r="J687">
        <f>IF(AND(H687="Kaptur",I687="Окраинов Л.Г.",YEAR(B687)=2020),E687,0)</f>
        <v/>
      </c>
    </row>
    <row r="688">
      <c r="A688" s="6" t="n">
        <v>687</v>
      </c>
      <c r="B688" s="13" t="n">
        <v>44002</v>
      </c>
      <c r="C688" s="6" t="inlineStr">
        <is>
          <t>A36</t>
        </is>
      </c>
      <c r="D688" s="6" t="n">
        <v>3</v>
      </c>
      <c r="E688" s="15" t="n">
        <v>300</v>
      </c>
      <c r="F688" s="5" t="inlineStr">
        <is>
          <t>нет</t>
        </is>
      </c>
      <c r="G688" s="7" t="n"/>
      <c r="H688">
        <f>VLOOKUP(C688,Автомобили!$A$2:$G$1000,3,0)</f>
        <v/>
      </c>
      <c r="I688">
        <f>VLOOKUP(D688,Клиенты!$A$2:$D$1000,2,0)</f>
        <v/>
      </c>
      <c r="J688">
        <f>IF(AND(H688="Kaptur",I688="Окраинов Л.Г.",YEAR(B688)=2020),E688,0)</f>
        <v/>
      </c>
    </row>
    <row r="689">
      <c r="A689" s="6" t="n">
        <v>688</v>
      </c>
      <c r="B689" s="13" t="n">
        <v>44002</v>
      </c>
      <c r="C689" s="6" t="inlineStr">
        <is>
          <t>A37</t>
        </is>
      </c>
      <c r="D689" s="6" t="n">
        <v>7</v>
      </c>
      <c r="E689" s="15" t="n">
        <v>231</v>
      </c>
      <c r="F689" s="5" t="inlineStr">
        <is>
          <t>нет</t>
        </is>
      </c>
      <c r="G689" s="7" t="n"/>
      <c r="H689">
        <f>VLOOKUP(C689,Автомобили!$A$2:$G$1000,3,0)</f>
        <v/>
      </c>
      <c r="I689">
        <f>VLOOKUP(D689,Клиенты!$A$2:$D$1000,2,0)</f>
        <v/>
      </c>
      <c r="J689">
        <f>IF(AND(H689="Kaptur",I689="Окраинов Л.Г.",YEAR(B689)=2020),E689,0)</f>
        <v/>
      </c>
    </row>
    <row r="690">
      <c r="A690" s="6" t="n">
        <v>689</v>
      </c>
      <c r="B690" s="13" t="n">
        <v>44003</v>
      </c>
      <c r="C690" s="6" t="inlineStr">
        <is>
          <t>A38</t>
        </is>
      </c>
      <c r="D690" s="6" t="n">
        <v>13</v>
      </c>
      <c r="E690" s="15" t="n">
        <v>326</v>
      </c>
      <c r="F690" s="5" t="inlineStr">
        <is>
          <t>нет</t>
        </is>
      </c>
      <c r="G690" s="7" t="n"/>
      <c r="H690">
        <f>VLOOKUP(C690,Автомобили!$A$2:$G$1000,3,0)</f>
        <v/>
      </c>
      <c r="I690">
        <f>VLOOKUP(D690,Клиенты!$A$2:$D$1000,2,0)</f>
        <v/>
      </c>
      <c r="J690">
        <f>IF(AND(H690="Kaptur",I690="Окраинов Л.Г.",YEAR(B690)=2020),E690,0)</f>
        <v/>
      </c>
    </row>
    <row r="691">
      <c r="A691" s="6" t="n">
        <v>690</v>
      </c>
      <c r="B691" s="13" t="n">
        <v>44003</v>
      </c>
      <c r="C691" s="6" t="inlineStr">
        <is>
          <t>A60</t>
        </is>
      </c>
      <c r="D691" s="6" t="n">
        <v>3</v>
      </c>
      <c r="E691" s="15" t="n">
        <v>414</v>
      </c>
      <c r="F691" s="5" t="inlineStr">
        <is>
          <t>нет</t>
        </is>
      </c>
      <c r="G691" s="7" t="n"/>
      <c r="H691">
        <f>VLOOKUP(C691,Автомобили!$A$2:$G$1000,3,0)</f>
        <v/>
      </c>
      <c r="I691">
        <f>VLOOKUP(D691,Клиенты!$A$2:$D$1000,2,0)</f>
        <v/>
      </c>
      <c r="J691">
        <f>IF(AND(H691="Kaptur",I691="Окраинов Л.Г.",YEAR(B691)=2020),E691,0)</f>
        <v/>
      </c>
    </row>
    <row r="692">
      <c r="A692" s="6" t="n">
        <v>691</v>
      </c>
      <c r="B692" s="13" t="n">
        <v>44003</v>
      </c>
      <c r="C692" s="6" t="inlineStr">
        <is>
          <t>A37</t>
        </is>
      </c>
      <c r="D692" s="6" t="n">
        <v>11</v>
      </c>
      <c r="E692" s="15" t="n">
        <v>242</v>
      </c>
      <c r="F692" s="5" t="inlineStr">
        <is>
          <t>нет</t>
        </is>
      </c>
      <c r="G692" s="7" t="n"/>
      <c r="H692">
        <f>VLOOKUP(C692,Автомобили!$A$2:$G$1000,3,0)</f>
        <v/>
      </c>
      <c r="I692">
        <f>VLOOKUP(D692,Клиенты!$A$2:$D$1000,2,0)</f>
        <v/>
      </c>
      <c r="J692">
        <f>IF(AND(H692="Kaptur",I692="Окраинов Л.Г.",YEAR(B692)=2020),E692,0)</f>
        <v/>
      </c>
    </row>
    <row r="693">
      <c r="A693" s="6" t="n">
        <v>692</v>
      </c>
      <c r="B693" s="13" t="n">
        <v>44003</v>
      </c>
      <c r="C693" s="6" t="inlineStr">
        <is>
          <t>A54</t>
        </is>
      </c>
      <c r="D693" s="6" t="n">
        <v>12</v>
      </c>
      <c r="E693" s="15" t="n">
        <v>187</v>
      </c>
      <c r="F693" s="5" t="inlineStr">
        <is>
          <t>нет</t>
        </is>
      </c>
      <c r="G693" s="7" t="n"/>
      <c r="H693">
        <f>VLOOKUP(C693,Автомобили!$A$2:$G$1000,3,0)</f>
        <v/>
      </c>
      <c r="I693">
        <f>VLOOKUP(D693,Клиенты!$A$2:$D$1000,2,0)</f>
        <v/>
      </c>
      <c r="J693">
        <f>IF(AND(H693="Kaptur",I693="Окраинов Л.Г.",YEAR(B693)=2020),E693,0)</f>
        <v/>
      </c>
    </row>
    <row r="694">
      <c r="A694" s="6" t="n">
        <v>693</v>
      </c>
      <c r="B694" s="13" t="n">
        <v>44004</v>
      </c>
      <c r="C694" s="6" t="inlineStr">
        <is>
          <t>A47</t>
        </is>
      </c>
      <c r="D694" s="6" t="n">
        <v>3</v>
      </c>
      <c r="E694" s="15" t="n">
        <v>397</v>
      </c>
      <c r="F694" s="5" t="inlineStr">
        <is>
          <t>нет</t>
        </is>
      </c>
      <c r="G694" s="7" t="n"/>
      <c r="H694">
        <f>VLOOKUP(C694,Автомобили!$A$2:$G$1000,3,0)</f>
        <v/>
      </c>
      <c r="I694">
        <f>VLOOKUP(D694,Клиенты!$A$2:$D$1000,2,0)</f>
        <v/>
      </c>
      <c r="J694">
        <f>IF(AND(H694="Kaptur",I694="Окраинов Л.Г.",YEAR(B694)=2020),E694,0)</f>
        <v/>
      </c>
    </row>
    <row r="695">
      <c r="A695" s="6" t="n">
        <v>694</v>
      </c>
      <c r="B695" s="13" t="n">
        <v>44004</v>
      </c>
      <c r="C695" s="6" t="inlineStr">
        <is>
          <t>A54</t>
        </is>
      </c>
      <c r="D695" s="6" t="n">
        <v>13</v>
      </c>
      <c r="E695" s="15" t="n">
        <v>409</v>
      </c>
      <c r="F695" s="5" t="inlineStr">
        <is>
          <t>нет</t>
        </is>
      </c>
      <c r="G695" s="7" t="n"/>
      <c r="H695">
        <f>VLOOKUP(C695,Автомобили!$A$2:$G$1000,3,0)</f>
        <v/>
      </c>
      <c r="I695">
        <f>VLOOKUP(D695,Клиенты!$A$2:$D$1000,2,0)</f>
        <v/>
      </c>
      <c r="J695">
        <f>IF(AND(H695="Kaptur",I695="Окраинов Л.Г.",YEAR(B695)=2020),E695,0)</f>
        <v/>
      </c>
    </row>
    <row r="696">
      <c r="A696" s="6" t="n">
        <v>695</v>
      </c>
      <c r="B696" s="13" t="n">
        <v>44004</v>
      </c>
      <c r="C696" s="6" t="inlineStr">
        <is>
          <t>A26</t>
        </is>
      </c>
      <c r="D696" s="6" t="n">
        <v>9</v>
      </c>
      <c r="E696" s="15" t="n">
        <v>428</v>
      </c>
      <c r="F696" s="5" t="inlineStr">
        <is>
          <t>нет</t>
        </is>
      </c>
      <c r="G696" s="7" t="n"/>
      <c r="H696">
        <f>VLOOKUP(C696,Автомобили!$A$2:$G$1000,3,0)</f>
        <v/>
      </c>
      <c r="I696">
        <f>VLOOKUP(D696,Клиенты!$A$2:$D$1000,2,0)</f>
        <v/>
      </c>
      <c r="J696">
        <f>IF(AND(H696="Kaptur",I696="Окраинов Л.Г.",YEAR(B696)=2020),E696,0)</f>
        <v/>
      </c>
    </row>
    <row r="697">
      <c r="A697" s="6" t="n">
        <v>696</v>
      </c>
      <c r="B697" s="13" t="n">
        <v>44004</v>
      </c>
      <c r="C697" s="6" t="inlineStr">
        <is>
          <t>A32</t>
        </is>
      </c>
      <c r="D697" s="6" t="n">
        <v>5</v>
      </c>
      <c r="E697" s="15" t="n">
        <v>257</v>
      </c>
      <c r="F697" s="5" t="inlineStr">
        <is>
          <t>нет</t>
        </is>
      </c>
      <c r="G697" s="7" t="n"/>
      <c r="H697">
        <f>VLOOKUP(C697,Автомобили!$A$2:$G$1000,3,0)</f>
        <v/>
      </c>
      <c r="I697">
        <f>VLOOKUP(D697,Клиенты!$A$2:$D$1000,2,0)</f>
        <v/>
      </c>
      <c r="J697">
        <f>IF(AND(H697="Kaptur",I697="Окраинов Л.Г.",YEAR(B697)=2020),E697,0)</f>
        <v/>
      </c>
    </row>
    <row r="698">
      <c r="A698" s="6" t="n">
        <v>697</v>
      </c>
      <c r="B698" s="13" t="n">
        <v>44005</v>
      </c>
      <c r="C698" s="6" t="inlineStr">
        <is>
          <t>A5</t>
        </is>
      </c>
      <c r="D698" s="6" t="n">
        <v>15</v>
      </c>
      <c r="E698" s="15" t="n">
        <v>101</v>
      </c>
      <c r="F698" s="5" t="inlineStr">
        <is>
          <t>нет</t>
        </is>
      </c>
      <c r="G698" s="7" t="n"/>
      <c r="H698">
        <f>VLOOKUP(C698,Автомобили!$A$2:$G$1000,3,0)</f>
        <v/>
      </c>
      <c r="I698">
        <f>VLOOKUP(D698,Клиенты!$A$2:$D$1000,2,0)</f>
        <v/>
      </c>
      <c r="J698">
        <f>IF(AND(H698="Kaptur",I698="Окраинов Л.Г.",YEAR(B698)=2020),E698,0)</f>
        <v/>
      </c>
    </row>
    <row r="699">
      <c r="A699" s="6" t="n">
        <v>698</v>
      </c>
      <c r="B699" s="13" t="n">
        <v>44005</v>
      </c>
      <c r="C699" s="6" t="inlineStr">
        <is>
          <t>A14</t>
        </is>
      </c>
      <c r="D699" s="6" t="n">
        <v>14</v>
      </c>
      <c r="E699" s="15" t="n">
        <v>98</v>
      </c>
      <c r="F699" s="5" t="inlineStr">
        <is>
          <t>нет</t>
        </is>
      </c>
      <c r="G699" s="7" t="n"/>
      <c r="H699">
        <f>VLOOKUP(C699,Автомобили!$A$2:$G$1000,3,0)</f>
        <v/>
      </c>
      <c r="I699">
        <f>VLOOKUP(D699,Клиенты!$A$2:$D$1000,2,0)</f>
        <v/>
      </c>
      <c r="J699">
        <f>IF(AND(H699="Kaptur",I699="Окраинов Л.Г.",YEAR(B699)=2020),E699,0)</f>
        <v/>
      </c>
    </row>
    <row r="700">
      <c r="A700" s="6" t="n">
        <v>699</v>
      </c>
      <c r="B700" s="13" t="n">
        <v>44005</v>
      </c>
      <c r="C700" s="6" t="inlineStr">
        <is>
          <t>A40</t>
        </is>
      </c>
      <c r="D700" s="6" t="n">
        <v>9</v>
      </c>
      <c r="E700" s="15" t="n">
        <v>156</v>
      </c>
      <c r="F700" s="5" t="inlineStr">
        <is>
          <t>нет</t>
        </is>
      </c>
      <c r="G700" s="7" t="n"/>
      <c r="H700">
        <f>VLOOKUP(C700,Автомобили!$A$2:$G$1000,3,0)</f>
        <v/>
      </c>
      <c r="I700">
        <f>VLOOKUP(D700,Клиенты!$A$2:$D$1000,2,0)</f>
        <v/>
      </c>
      <c r="J700">
        <f>IF(AND(H700="Kaptur",I700="Окраинов Л.Г.",YEAR(B700)=2020),E700,0)</f>
        <v/>
      </c>
    </row>
    <row r="701">
      <c r="A701" s="6" t="n">
        <v>700</v>
      </c>
      <c r="B701" s="13" t="n">
        <v>44005</v>
      </c>
      <c r="C701" s="6" t="inlineStr">
        <is>
          <t>A8</t>
        </is>
      </c>
      <c r="D701" s="6" t="n">
        <v>11</v>
      </c>
      <c r="E701" s="15" t="n">
        <v>200</v>
      </c>
      <c r="F701" s="5" t="inlineStr">
        <is>
          <t>нет</t>
        </is>
      </c>
      <c r="G701" s="7" t="n"/>
      <c r="H701">
        <f>VLOOKUP(C701,Автомобили!$A$2:$G$1000,3,0)</f>
        <v/>
      </c>
      <c r="I701">
        <f>VLOOKUP(D701,Клиенты!$A$2:$D$1000,2,0)</f>
        <v/>
      </c>
      <c r="J701">
        <f>IF(AND(H701="Kaptur",I701="Окраинов Л.Г.",YEAR(B701)=2020),E701,0)</f>
        <v/>
      </c>
    </row>
    <row r="702">
      <c r="A702" s="6" t="n">
        <v>701</v>
      </c>
      <c r="B702" s="13" t="n">
        <v>44006</v>
      </c>
      <c r="C702" s="6" t="inlineStr">
        <is>
          <t>A34</t>
        </is>
      </c>
      <c r="D702" s="6" t="n">
        <v>2</v>
      </c>
      <c r="E702" s="15" t="n">
        <v>252</v>
      </c>
      <c r="F702" s="5" t="inlineStr">
        <is>
          <t>нет</t>
        </is>
      </c>
      <c r="G702" s="7" t="n"/>
      <c r="H702">
        <f>VLOOKUP(C702,Автомобили!$A$2:$G$1000,3,0)</f>
        <v/>
      </c>
      <c r="I702">
        <f>VLOOKUP(D702,Клиенты!$A$2:$D$1000,2,0)</f>
        <v/>
      </c>
      <c r="J702">
        <f>IF(AND(H702="Kaptur",I702="Окраинов Л.Г.",YEAR(B702)=2020),E702,0)</f>
        <v/>
      </c>
    </row>
    <row r="703">
      <c r="A703" s="6" t="n">
        <v>702</v>
      </c>
      <c r="B703" s="13" t="n">
        <v>44006</v>
      </c>
      <c r="C703" s="6" t="inlineStr">
        <is>
          <t>A46</t>
        </is>
      </c>
      <c r="D703" s="6" t="n">
        <v>1</v>
      </c>
      <c r="E703" s="15" t="n">
        <v>276</v>
      </c>
      <c r="F703" s="5" t="inlineStr">
        <is>
          <t>нет</t>
        </is>
      </c>
      <c r="G703" s="7" t="n"/>
      <c r="H703">
        <f>VLOOKUP(C703,Автомобили!$A$2:$G$1000,3,0)</f>
        <v/>
      </c>
      <c r="I703">
        <f>VLOOKUP(D703,Клиенты!$A$2:$D$1000,2,0)</f>
        <v/>
      </c>
      <c r="J703">
        <f>IF(AND(H703="Kaptur",I703="Окраинов Л.Г.",YEAR(B703)=2020),E703,0)</f>
        <v/>
      </c>
    </row>
    <row r="704">
      <c r="A704" s="6" t="n">
        <v>703</v>
      </c>
      <c r="B704" s="13" t="n">
        <v>44006</v>
      </c>
      <c r="C704" s="6" t="inlineStr">
        <is>
          <t>A28</t>
        </is>
      </c>
      <c r="D704" s="6" t="n">
        <v>8</v>
      </c>
      <c r="E704" s="15" t="n">
        <v>376</v>
      </c>
      <c r="F704" s="5" t="inlineStr">
        <is>
          <t>нет</t>
        </is>
      </c>
      <c r="G704" s="7" t="n"/>
      <c r="H704">
        <f>VLOOKUP(C704,Автомобили!$A$2:$G$1000,3,0)</f>
        <v/>
      </c>
      <c r="I704">
        <f>VLOOKUP(D704,Клиенты!$A$2:$D$1000,2,0)</f>
        <v/>
      </c>
      <c r="J704">
        <f>IF(AND(H704="Kaptur",I704="Окраинов Л.Г.",YEAR(B704)=2020),E704,0)</f>
        <v/>
      </c>
    </row>
    <row r="705">
      <c r="A705" s="6" t="n">
        <v>704</v>
      </c>
      <c r="B705" s="13" t="n">
        <v>44006</v>
      </c>
      <c r="C705" s="6" t="inlineStr">
        <is>
          <t>A58</t>
        </is>
      </c>
      <c r="D705" s="6" t="n">
        <v>14</v>
      </c>
      <c r="E705" s="15" t="n">
        <v>430</v>
      </c>
      <c r="F705" s="5" t="inlineStr">
        <is>
          <t>нет</t>
        </is>
      </c>
      <c r="G705" s="7" t="n"/>
      <c r="H705">
        <f>VLOOKUP(C705,Автомобили!$A$2:$G$1000,3,0)</f>
        <v/>
      </c>
      <c r="I705">
        <f>VLOOKUP(D705,Клиенты!$A$2:$D$1000,2,0)</f>
        <v/>
      </c>
      <c r="J705">
        <f>IF(AND(H705="Kaptur",I705="Окраинов Л.Г.",YEAR(B705)=2020),E705,0)</f>
        <v/>
      </c>
    </row>
    <row r="706">
      <c r="A706" s="6" t="n">
        <v>705</v>
      </c>
      <c r="B706" s="13" t="n">
        <v>44007</v>
      </c>
      <c r="C706" s="6" t="inlineStr">
        <is>
          <t>A16</t>
        </is>
      </c>
      <c r="D706" s="6" t="n">
        <v>4</v>
      </c>
      <c r="E706" s="15" t="n">
        <v>74</v>
      </c>
      <c r="F706" s="5" t="inlineStr">
        <is>
          <t>нет</t>
        </is>
      </c>
      <c r="G706" s="7" t="n"/>
      <c r="H706">
        <f>VLOOKUP(C706,Автомобили!$A$2:$G$1000,3,0)</f>
        <v/>
      </c>
      <c r="I706">
        <f>VLOOKUP(D706,Клиенты!$A$2:$D$1000,2,0)</f>
        <v/>
      </c>
      <c r="J706">
        <f>IF(AND(H706="Kaptur",I706="Окраинов Л.Г.",YEAR(B706)=2020),E706,0)</f>
        <v/>
      </c>
    </row>
    <row r="707">
      <c r="A707" s="6" t="n">
        <v>706</v>
      </c>
      <c r="B707" s="13" t="n">
        <v>44007</v>
      </c>
      <c r="C707" s="6" t="inlineStr">
        <is>
          <t>A63</t>
        </is>
      </c>
      <c r="D707" s="6" t="n">
        <v>6</v>
      </c>
      <c r="E707" s="15" t="n">
        <v>160</v>
      </c>
      <c r="F707" s="5" t="inlineStr">
        <is>
          <t>нет</t>
        </is>
      </c>
      <c r="G707" s="7" t="n"/>
      <c r="H707">
        <f>VLOOKUP(C707,Автомобили!$A$2:$G$1000,3,0)</f>
        <v/>
      </c>
      <c r="I707">
        <f>VLOOKUP(D707,Клиенты!$A$2:$D$1000,2,0)</f>
        <v/>
      </c>
      <c r="J707">
        <f>IF(AND(H707="Kaptur",I707="Окраинов Л.Г.",YEAR(B707)=2020),E707,0)</f>
        <v/>
      </c>
    </row>
    <row r="708">
      <c r="A708" s="6" t="n">
        <v>707</v>
      </c>
      <c r="B708" s="13" t="n">
        <v>44007</v>
      </c>
      <c r="C708" s="6" t="inlineStr">
        <is>
          <t>A25</t>
        </is>
      </c>
      <c r="D708" s="6" t="n">
        <v>4</v>
      </c>
      <c r="E708" s="15" t="n">
        <v>348</v>
      </c>
      <c r="F708" s="5" t="inlineStr">
        <is>
          <t>нет</t>
        </is>
      </c>
      <c r="G708" s="7" t="n"/>
      <c r="H708">
        <f>VLOOKUP(C708,Автомобили!$A$2:$G$1000,3,0)</f>
        <v/>
      </c>
      <c r="I708">
        <f>VLOOKUP(D708,Клиенты!$A$2:$D$1000,2,0)</f>
        <v/>
      </c>
      <c r="J708">
        <f>IF(AND(H708="Kaptur",I708="Окраинов Л.Г.",YEAR(B708)=2020),E708,0)</f>
        <v/>
      </c>
    </row>
    <row r="709">
      <c r="A709" s="6" t="n">
        <v>708</v>
      </c>
      <c r="B709" s="13" t="n">
        <v>44007</v>
      </c>
      <c r="C709" s="6" t="inlineStr">
        <is>
          <t>A2</t>
        </is>
      </c>
      <c r="D709" s="6" t="n">
        <v>15</v>
      </c>
      <c r="E709" s="15" t="n">
        <v>104</v>
      </c>
      <c r="F709" s="5" t="inlineStr">
        <is>
          <t>нет</t>
        </is>
      </c>
      <c r="G709" s="7" t="n"/>
      <c r="H709">
        <f>VLOOKUP(C709,Автомобили!$A$2:$G$1000,3,0)</f>
        <v/>
      </c>
      <c r="I709">
        <f>VLOOKUP(D709,Клиенты!$A$2:$D$1000,2,0)</f>
        <v/>
      </c>
      <c r="J709">
        <f>IF(AND(H709="Kaptur",I709="Окраинов Л.Г.",YEAR(B709)=2020),E709,0)</f>
        <v/>
      </c>
    </row>
    <row r="710">
      <c r="A710" s="6" t="n">
        <v>709</v>
      </c>
      <c r="B710" s="13" t="n">
        <v>44008</v>
      </c>
      <c r="C710" s="6" t="inlineStr">
        <is>
          <t>A34</t>
        </is>
      </c>
      <c r="D710" s="6" t="n">
        <v>10</v>
      </c>
      <c r="E710" s="15" t="n">
        <v>122</v>
      </c>
      <c r="F710" s="5" t="inlineStr">
        <is>
          <t>нет</t>
        </is>
      </c>
      <c r="G710" s="7" t="n"/>
      <c r="H710">
        <f>VLOOKUP(C710,Автомобили!$A$2:$G$1000,3,0)</f>
        <v/>
      </c>
      <c r="I710">
        <f>VLOOKUP(D710,Клиенты!$A$2:$D$1000,2,0)</f>
        <v/>
      </c>
      <c r="J710">
        <f>IF(AND(H710="Kaptur",I710="Окраинов Л.Г.",YEAR(B710)=2020),E710,0)</f>
        <v/>
      </c>
    </row>
    <row r="711">
      <c r="A711" s="6" t="n">
        <v>710</v>
      </c>
      <c r="B711" s="13" t="n">
        <v>44008</v>
      </c>
      <c r="C711" s="6" t="inlineStr">
        <is>
          <t>A6</t>
        </is>
      </c>
      <c r="D711" s="6" t="n">
        <v>10</v>
      </c>
      <c r="E711" s="15" t="n">
        <v>300</v>
      </c>
      <c r="F711" s="5" t="inlineStr">
        <is>
          <t>нет</t>
        </is>
      </c>
      <c r="G711" s="7" t="n"/>
      <c r="H711">
        <f>VLOOKUP(C711,Автомобили!$A$2:$G$1000,3,0)</f>
        <v/>
      </c>
      <c r="I711">
        <f>VLOOKUP(D711,Клиенты!$A$2:$D$1000,2,0)</f>
        <v/>
      </c>
      <c r="J711">
        <f>IF(AND(H711="Kaptur",I711="Окраинов Л.Г.",YEAR(B711)=2020),E711,0)</f>
        <v/>
      </c>
    </row>
    <row r="712">
      <c r="A712" s="6" t="n">
        <v>711</v>
      </c>
      <c r="B712" s="13" t="n">
        <v>44008</v>
      </c>
      <c r="C712" s="6" t="inlineStr">
        <is>
          <t>A29</t>
        </is>
      </c>
      <c r="D712" s="6" t="n">
        <v>2</v>
      </c>
      <c r="E712" s="15" t="n">
        <v>80</v>
      </c>
      <c r="F712" s="5" t="inlineStr">
        <is>
          <t>нет</t>
        </is>
      </c>
      <c r="G712" s="7" t="n"/>
      <c r="H712">
        <f>VLOOKUP(C712,Автомобили!$A$2:$G$1000,3,0)</f>
        <v/>
      </c>
      <c r="I712">
        <f>VLOOKUP(D712,Клиенты!$A$2:$D$1000,2,0)</f>
        <v/>
      </c>
      <c r="J712">
        <f>IF(AND(H712="Kaptur",I712="Окраинов Л.Г.",YEAR(B712)=2020),E712,0)</f>
        <v/>
      </c>
    </row>
    <row r="713">
      <c r="A713" s="6" t="n">
        <v>712</v>
      </c>
      <c r="B713" s="13" t="n">
        <v>44008</v>
      </c>
      <c r="C713" s="6" t="inlineStr">
        <is>
          <t>A4</t>
        </is>
      </c>
      <c r="D713" s="6" t="n">
        <v>9</v>
      </c>
      <c r="E713" s="15" t="n">
        <v>130</v>
      </c>
      <c r="F713" s="5" t="inlineStr">
        <is>
          <t>нет</t>
        </is>
      </c>
      <c r="G713" s="7" t="n"/>
      <c r="H713">
        <f>VLOOKUP(C713,Автомобили!$A$2:$G$1000,3,0)</f>
        <v/>
      </c>
      <c r="I713">
        <f>VLOOKUP(D713,Клиенты!$A$2:$D$1000,2,0)</f>
        <v/>
      </c>
      <c r="J713">
        <f>IF(AND(H713="Kaptur",I713="Окраинов Л.Г.",YEAR(B713)=2020),E713,0)</f>
        <v/>
      </c>
    </row>
    <row r="714">
      <c r="A714" s="6" t="n">
        <v>713</v>
      </c>
      <c r="B714" s="13" t="n">
        <v>44009</v>
      </c>
      <c r="C714" s="6" t="inlineStr">
        <is>
          <t>A9</t>
        </is>
      </c>
      <c r="D714" s="6" t="n">
        <v>5</v>
      </c>
      <c r="E714" s="15" t="n">
        <v>238</v>
      </c>
      <c r="F714" s="5" t="inlineStr">
        <is>
          <t>нет</t>
        </is>
      </c>
      <c r="G714" s="7" t="n"/>
      <c r="H714">
        <f>VLOOKUP(C714,Автомобили!$A$2:$G$1000,3,0)</f>
        <v/>
      </c>
      <c r="I714">
        <f>VLOOKUP(D714,Клиенты!$A$2:$D$1000,2,0)</f>
        <v/>
      </c>
      <c r="J714">
        <f>IF(AND(H714="Kaptur",I714="Окраинов Л.Г.",YEAR(B714)=2020),E714,0)</f>
        <v/>
      </c>
    </row>
    <row r="715">
      <c r="A715" s="6" t="n">
        <v>714</v>
      </c>
      <c r="B715" s="13" t="n">
        <v>44009</v>
      </c>
      <c r="C715" s="6" t="inlineStr">
        <is>
          <t>A30</t>
        </is>
      </c>
      <c r="D715" s="6" t="n">
        <v>3</v>
      </c>
      <c r="E715" s="15" t="n">
        <v>264</v>
      </c>
      <c r="F715" s="5" t="inlineStr">
        <is>
          <t>нет</t>
        </is>
      </c>
      <c r="G715" s="7" t="n"/>
      <c r="H715">
        <f>VLOOKUP(C715,Автомобили!$A$2:$G$1000,3,0)</f>
        <v/>
      </c>
      <c r="I715">
        <f>VLOOKUP(D715,Клиенты!$A$2:$D$1000,2,0)</f>
        <v/>
      </c>
      <c r="J715">
        <f>IF(AND(H715="Kaptur",I715="Окраинов Л.Г.",YEAR(B715)=2020),E715,0)</f>
        <v/>
      </c>
    </row>
    <row r="716">
      <c r="A716" s="6" t="n">
        <v>715</v>
      </c>
      <c r="B716" s="13" t="n">
        <v>44009</v>
      </c>
      <c r="C716" s="6" t="inlineStr">
        <is>
          <t>A19</t>
        </is>
      </c>
      <c r="D716" s="6" t="n">
        <v>9</v>
      </c>
      <c r="E716" s="15" t="n">
        <v>212</v>
      </c>
      <c r="F716" s="5" t="inlineStr">
        <is>
          <t>нет</t>
        </is>
      </c>
      <c r="G716" s="7" t="n"/>
      <c r="H716">
        <f>VLOOKUP(C716,Автомобили!$A$2:$G$1000,3,0)</f>
        <v/>
      </c>
      <c r="I716">
        <f>VLOOKUP(D716,Клиенты!$A$2:$D$1000,2,0)</f>
        <v/>
      </c>
      <c r="J716">
        <f>IF(AND(H716="Kaptur",I716="Окраинов Л.Г.",YEAR(B716)=2020),E716,0)</f>
        <v/>
      </c>
    </row>
    <row r="717">
      <c r="A717" s="6" t="n">
        <v>716</v>
      </c>
      <c r="B717" s="13" t="n">
        <v>44009</v>
      </c>
      <c r="C717" s="6" t="inlineStr">
        <is>
          <t>A17</t>
        </is>
      </c>
      <c r="D717" s="6" t="n">
        <v>13</v>
      </c>
      <c r="E717" s="15" t="n">
        <v>123</v>
      </c>
      <c r="F717" s="5" t="inlineStr">
        <is>
          <t>нет</t>
        </is>
      </c>
      <c r="G717" s="7" t="n"/>
      <c r="H717">
        <f>VLOOKUP(C717,Автомобили!$A$2:$G$1000,3,0)</f>
        <v/>
      </c>
      <c r="I717">
        <f>VLOOKUP(D717,Клиенты!$A$2:$D$1000,2,0)</f>
        <v/>
      </c>
      <c r="J717">
        <f>IF(AND(H717="Kaptur",I717="Окраинов Л.Г.",YEAR(B717)=2020),E717,0)</f>
        <v/>
      </c>
    </row>
    <row r="718">
      <c r="A718" s="6" t="n">
        <v>717</v>
      </c>
      <c r="B718" s="13" t="n">
        <v>44010</v>
      </c>
      <c r="C718" s="6" t="inlineStr">
        <is>
          <t>A27</t>
        </is>
      </c>
      <c r="D718" s="6" t="n">
        <v>3</v>
      </c>
      <c r="E718" s="15" t="n">
        <v>105</v>
      </c>
      <c r="F718" s="5" t="inlineStr">
        <is>
          <t>нет</t>
        </is>
      </c>
      <c r="G718" s="7" t="n"/>
      <c r="H718">
        <f>VLOOKUP(C718,Автомобили!$A$2:$G$1000,3,0)</f>
        <v/>
      </c>
      <c r="I718">
        <f>VLOOKUP(D718,Клиенты!$A$2:$D$1000,2,0)</f>
        <v/>
      </c>
      <c r="J718">
        <f>IF(AND(H718="Kaptur",I718="Окраинов Л.Г.",YEAR(B718)=2020),E718,0)</f>
        <v/>
      </c>
    </row>
    <row r="719">
      <c r="A719" s="6" t="n">
        <v>718</v>
      </c>
      <c r="B719" s="13" t="n">
        <v>44010</v>
      </c>
      <c r="C719" s="6" t="inlineStr">
        <is>
          <t>A8</t>
        </is>
      </c>
      <c r="D719" s="6" t="n">
        <v>5</v>
      </c>
      <c r="E719" s="15" t="n">
        <v>286</v>
      </c>
      <c r="F719" s="5" t="inlineStr">
        <is>
          <t>нет</t>
        </is>
      </c>
      <c r="G719" s="7" t="n"/>
      <c r="H719">
        <f>VLOOKUP(C719,Автомобили!$A$2:$G$1000,3,0)</f>
        <v/>
      </c>
      <c r="I719">
        <f>VLOOKUP(D719,Клиенты!$A$2:$D$1000,2,0)</f>
        <v/>
      </c>
      <c r="J719">
        <f>IF(AND(H719="Kaptur",I719="Окраинов Л.Г.",YEAR(B719)=2020),E719,0)</f>
        <v/>
      </c>
    </row>
    <row r="720">
      <c r="A720" s="6" t="n">
        <v>719</v>
      </c>
      <c r="B720" s="13" t="n">
        <v>44010</v>
      </c>
      <c r="C720" s="6" t="inlineStr">
        <is>
          <t>A37</t>
        </is>
      </c>
      <c r="D720" s="6" t="n">
        <v>10</v>
      </c>
      <c r="E720" s="15" t="n">
        <v>409</v>
      </c>
      <c r="F720" s="5" t="inlineStr">
        <is>
          <t>нет</t>
        </is>
      </c>
      <c r="G720" s="7" t="n"/>
      <c r="H720">
        <f>VLOOKUP(C720,Автомобили!$A$2:$G$1000,3,0)</f>
        <v/>
      </c>
      <c r="I720">
        <f>VLOOKUP(D720,Клиенты!$A$2:$D$1000,2,0)</f>
        <v/>
      </c>
      <c r="J720">
        <f>IF(AND(H720="Kaptur",I720="Окраинов Л.Г.",YEAR(B720)=2020),E720,0)</f>
        <v/>
      </c>
    </row>
    <row r="721">
      <c r="A721" s="6" t="n">
        <v>720</v>
      </c>
      <c r="B721" s="13" t="n">
        <v>44010</v>
      </c>
      <c r="C721" s="6" t="inlineStr">
        <is>
          <t>A24</t>
        </is>
      </c>
      <c r="D721" s="6" t="n">
        <v>8</v>
      </c>
      <c r="E721" s="15" t="n">
        <v>232</v>
      </c>
      <c r="F721" s="5" t="inlineStr">
        <is>
          <t>нет</t>
        </is>
      </c>
      <c r="G721" s="7" t="n"/>
      <c r="H721">
        <f>VLOOKUP(C721,Автомобили!$A$2:$G$1000,3,0)</f>
        <v/>
      </c>
      <c r="I721">
        <f>VLOOKUP(D721,Клиенты!$A$2:$D$1000,2,0)</f>
        <v/>
      </c>
      <c r="J721">
        <f>IF(AND(H721="Kaptur",I721="Окраинов Л.Г.",YEAR(B721)=2020),E721,0)</f>
        <v/>
      </c>
    </row>
    <row r="722">
      <c r="A722" s="6" t="n">
        <v>721</v>
      </c>
      <c r="B722" s="13" t="n">
        <v>44011</v>
      </c>
      <c r="C722" s="6" t="inlineStr">
        <is>
          <t>A17</t>
        </is>
      </c>
      <c r="D722" s="6" t="n">
        <v>3</v>
      </c>
      <c r="E722" s="15" t="n">
        <v>331</v>
      </c>
      <c r="F722" s="5" t="inlineStr">
        <is>
          <t>нет</t>
        </is>
      </c>
      <c r="G722" s="7" t="n"/>
      <c r="H722">
        <f>VLOOKUP(C722,Автомобили!$A$2:$G$1000,3,0)</f>
        <v/>
      </c>
      <c r="I722">
        <f>VLOOKUP(D722,Клиенты!$A$2:$D$1000,2,0)</f>
        <v/>
      </c>
      <c r="J722">
        <f>IF(AND(H722="Kaptur",I722="Окраинов Л.Г.",YEAR(B722)=2020),E722,0)</f>
        <v/>
      </c>
    </row>
    <row r="723">
      <c r="A723" s="6" t="n">
        <v>722</v>
      </c>
      <c r="B723" s="13" t="n">
        <v>44011</v>
      </c>
      <c r="C723" s="6" t="inlineStr">
        <is>
          <t>A22</t>
        </is>
      </c>
      <c r="D723" s="6" t="n">
        <v>13</v>
      </c>
      <c r="E723" s="15" t="n">
        <v>381</v>
      </c>
      <c r="F723" s="5" t="inlineStr">
        <is>
          <t>нет</t>
        </is>
      </c>
      <c r="G723" s="7" t="n"/>
      <c r="H723">
        <f>VLOOKUP(C723,Автомобили!$A$2:$G$1000,3,0)</f>
        <v/>
      </c>
      <c r="I723">
        <f>VLOOKUP(D723,Клиенты!$A$2:$D$1000,2,0)</f>
        <v/>
      </c>
      <c r="J723">
        <f>IF(AND(H723="Kaptur",I723="Окраинов Л.Г.",YEAR(B723)=2020),E723,0)</f>
        <v/>
      </c>
    </row>
    <row r="724">
      <c r="A724" s="6" t="n">
        <v>723</v>
      </c>
      <c r="B724" s="13" t="n">
        <v>44011</v>
      </c>
      <c r="C724" s="6" t="inlineStr">
        <is>
          <t>A12</t>
        </is>
      </c>
      <c r="D724" s="6" t="n">
        <v>10</v>
      </c>
      <c r="E724" s="15" t="n">
        <v>107</v>
      </c>
      <c r="F724" s="5" t="inlineStr">
        <is>
          <t>нет</t>
        </is>
      </c>
      <c r="G724" s="7" t="n"/>
      <c r="H724">
        <f>VLOOKUP(C724,Автомобили!$A$2:$G$1000,3,0)</f>
        <v/>
      </c>
      <c r="I724">
        <f>VLOOKUP(D724,Клиенты!$A$2:$D$1000,2,0)</f>
        <v/>
      </c>
      <c r="J724">
        <f>IF(AND(H724="Kaptur",I724="Окраинов Л.Г.",YEAR(B724)=2020),E724,0)</f>
        <v/>
      </c>
    </row>
    <row r="725">
      <c r="A725" s="6" t="n">
        <v>724</v>
      </c>
      <c r="B725" s="13" t="n">
        <v>44011</v>
      </c>
      <c r="C725" s="6" t="inlineStr">
        <is>
          <t>A61</t>
        </is>
      </c>
      <c r="D725" s="6" t="n">
        <v>4</v>
      </c>
      <c r="E725" s="15" t="n">
        <v>357</v>
      </c>
      <c r="F725" s="5" t="inlineStr">
        <is>
          <t>нет</t>
        </is>
      </c>
      <c r="G725" s="7" t="n"/>
      <c r="H725">
        <f>VLOOKUP(C725,Автомобили!$A$2:$G$1000,3,0)</f>
        <v/>
      </c>
      <c r="I725">
        <f>VLOOKUP(D725,Клиенты!$A$2:$D$1000,2,0)</f>
        <v/>
      </c>
      <c r="J725">
        <f>IF(AND(H725="Kaptur",I725="Окраинов Л.Г.",YEAR(B725)=2020),E725,0)</f>
        <v/>
      </c>
    </row>
    <row r="726">
      <c r="A726" s="6" t="n">
        <v>725</v>
      </c>
      <c r="B726" s="13" t="n">
        <v>44012</v>
      </c>
      <c r="C726" s="6" t="inlineStr">
        <is>
          <t>A56</t>
        </is>
      </c>
      <c r="D726" s="6" t="n">
        <v>4</v>
      </c>
      <c r="E726" s="15" t="n">
        <v>342</v>
      </c>
      <c r="F726" s="5" t="inlineStr">
        <is>
          <t>нет</t>
        </is>
      </c>
      <c r="G726" s="7" t="n"/>
      <c r="H726">
        <f>VLOOKUP(C726,Автомобили!$A$2:$G$1000,3,0)</f>
        <v/>
      </c>
      <c r="I726">
        <f>VLOOKUP(D726,Клиенты!$A$2:$D$1000,2,0)</f>
        <v/>
      </c>
      <c r="J726">
        <f>IF(AND(H726="Kaptur",I726="Окраинов Л.Г.",YEAR(B726)=2020),E726,0)</f>
        <v/>
      </c>
    </row>
    <row r="727">
      <c r="A727" s="6" t="n">
        <v>726</v>
      </c>
      <c r="B727" s="13" t="n">
        <v>44012</v>
      </c>
      <c r="C727" s="6" t="inlineStr">
        <is>
          <t>A23</t>
        </is>
      </c>
      <c r="D727" s="6" t="n">
        <v>11</v>
      </c>
      <c r="E727" s="15" t="n">
        <v>169</v>
      </c>
      <c r="F727" s="5" t="inlineStr">
        <is>
          <t>нет</t>
        </is>
      </c>
      <c r="G727" s="7" t="n"/>
      <c r="H727">
        <f>VLOOKUP(C727,Автомобили!$A$2:$G$1000,3,0)</f>
        <v/>
      </c>
      <c r="I727">
        <f>VLOOKUP(D727,Клиенты!$A$2:$D$1000,2,0)</f>
        <v/>
      </c>
      <c r="J727">
        <f>IF(AND(H727="Kaptur",I727="Окраинов Л.Г.",YEAR(B727)=2020),E727,0)</f>
        <v/>
      </c>
    </row>
    <row r="728">
      <c r="A728" s="6" t="n">
        <v>727</v>
      </c>
      <c r="B728" s="13" t="n">
        <v>44012</v>
      </c>
      <c r="C728" s="6" t="inlineStr">
        <is>
          <t>A36</t>
        </is>
      </c>
      <c r="D728" s="6" t="n">
        <v>3</v>
      </c>
      <c r="E728" s="15" t="n">
        <v>73</v>
      </c>
      <c r="F728" s="5" t="inlineStr">
        <is>
          <t>нет</t>
        </is>
      </c>
      <c r="G728" s="7" t="n"/>
      <c r="H728">
        <f>VLOOKUP(C728,Автомобили!$A$2:$G$1000,3,0)</f>
        <v/>
      </c>
      <c r="I728">
        <f>VLOOKUP(D728,Клиенты!$A$2:$D$1000,2,0)</f>
        <v/>
      </c>
      <c r="J728">
        <f>IF(AND(H728="Kaptur",I728="Окраинов Л.Г.",YEAR(B728)=2020),E728,0)</f>
        <v/>
      </c>
    </row>
    <row r="729">
      <c r="A729" s="6" t="n">
        <v>728</v>
      </c>
      <c r="B729" s="13" t="n">
        <v>44012</v>
      </c>
      <c r="C729" s="6" t="inlineStr">
        <is>
          <t>A4</t>
        </is>
      </c>
      <c r="D729" s="6" t="n">
        <v>8</v>
      </c>
      <c r="E729" s="15" t="n">
        <v>297</v>
      </c>
      <c r="F729" s="5" t="inlineStr">
        <is>
          <t>нет</t>
        </is>
      </c>
      <c r="G729" s="7" t="n"/>
      <c r="H729">
        <f>VLOOKUP(C729,Автомобили!$A$2:$G$1000,3,0)</f>
        <v/>
      </c>
      <c r="I729">
        <f>VLOOKUP(D729,Клиенты!$A$2:$D$1000,2,0)</f>
        <v/>
      </c>
      <c r="J729">
        <f>IF(AND(H729="Kaptur",I729="Окраинов Л.Г.",YEAR(B729)=2020),E729,0)</f>
        <v/>
      </c>
    </row>
    <row r="730">
      <c r="A730" s="6" t="n">
        <v>729</v>
      </c>
      <c r="B730" s="13" t="n">
        <v>44013</v>
      </c>
      <c r="C730" s="6" t="inlineStr">
        <is>
          <t>A15</t>
        </is>
      </c>
      <c r="D730" s="6" t="n">
        <v>7</v>
      </c>
      <c r="E730" s="15" t="n">
        <v>373</v>
      </c>
      <c r="F730" s="5" t="inlineStr">
        <is>
          <t>нет</t>
        </is>
      </c>
      <c r="G730" s="7" t="n"/>
      <c r="H730">
        <f>VLOOKUP(C730,Автомобили!$A$2:$G$1000,3,0)</f>
        <v/>
      </c>
      <c r="I730">
        <f>VLOOKUP(D730,Клиенты!$A$2:$D$1000,2,0)</f>
        <v/>
      </c>
      <c r="J730">
        <f>IF(AND(H730="Kaptur",I730="Окраинов Л.Г.",YEAR(B730)=2020),E730,0)</f>
        <v/>
      </c>
    </row>
    <row r="731">
      <c r="A731" s="6" t="n">
        <v>730</v>
      </c>
      <c r="B731" s="13" t="n">
        <v>44013</v>
      </c>
      <c r="C731" s="6" t="inlineStr">
        <is>
          <t>A54</t>
        </is>
      </c>
      <c r="D731" s="6" t="n">
        <v>6</v>
      </c>
      <c r="E731" s="15" t="n">
        <v>160</v>
      </c>
      <c r="F731" s="5" t="inlineStr">
        <is>
          <t>нет</t>
        </is>
      </c>
      <c r="G731" s="7" t="n"/>
      <c r="H731">
        <f>VLOOKUP(C731,Автомобили!$A$2:$G$1000,3,0)</f>
        <v/>
      </c>
      <c r="I731">
        <f>VLOOKUP(D731,Клиенты!$A$2:$D$1000,2,0)</f>
        <v/>
      </c>
      <c r="J731">
        <f>IF(AND(H731="Kaptur",I731="Окраинов Л.Г.",YEAR(B731)=2020),E731,0)</f>
        <v/>
      </c>
    </row>
    <row r="732">
      <c r="A732" s="6" t="n">
        <v>731</v>
      </c>
      <c r="B732" s="13" t="n">
        <v>44013</v>
      </c>
      <c r="C732" s="6" t="inlineStr">
        <is>
          <t>A22</t>
        </is>
      </c>
      <c r="D732" s="6" t="n">
        <v>12</v>
      </c>
      <c r="E732" s="15" t="n">
        <v>109</v>
      </c>
      <c r="F732" s="5" t="inlineStr">
        <is>
          <t>нет</t>
        </is>
      </c>
      <c r="G732" s="7" t="n"/>
      <c r="H732">
        <f>VLOOKUP(C732,Автомобили!$A$2:$G$1000,3,0)</f>
        <v/>
      </c>
      <c r="I732">
        <f>VLOOKUP(D732,Клиенты!$A$2:$D$1000,2,0)</f>
        <v/>
      </c>
      <c r="J732">
        <f>IF(AND(H732="Kaptur",I732="Окраинов Л.Г.",YEAR(B732)=2020),E732,0)</f>
        <v/>
      </c>
    </row>
    <row r="733">
      <c r="A733" s="6" t="n">
        <v>732</v>
      </c>
      <c r="B733" s="13" t="n">
        <v>44013</v>
      </c>
      <c r="C733" s="6" t="inlineStr">
        <is>
          <t>A27</t>
        </is>
      </c>
      <c r="D733" s="6" t="n">
        <v>14</v>
      </c>
      <c r="E733" s="15" t="n">
        <v>447</v>
      </c>
      <c r="F733" s="5" t="inlineStr">
        <is>
          <t>нет</t>
        </is>
      </c>
      <c r="G733" s="7" t="n"/>
      <c r="H733">
        <f>VLOOKUP(C733,Автомобили!$A$2:$G$1000,3,0)</f>
        <v/>
      </c>
      <c r="I733">
        <f>VLOOKUP(D733,Клиенты!$A$2:$D$1000,2,0)</f>
        <v/>
      </c>
      <c r="J733">
        <f>IF(AND(H733="Kaptur",I733="Окраинов Л.Г.",YEAR(B733)=2020),E733,0)</f>
        <v/>
      </c>
    </row>
    <row r="734">
      <c r="A734" s="6" t="n">
        <v>733</v>
      </c>
      <c r="B734" s="13" t="n">
        <v>44014</v>
      </c>
      <c r="C734" s="6" t="inlineStr">
        <is>
          <t>A37</t>
        </is>
      </c>
      <c r="D734" s="6" t="n">
        <v>14</v>
      </c>
      <c r="E734" s="15" t="n">
        <v>353</v>
      </c>
      <c r="F734" s="5" t="inlineStr">
        <is>
          <t>нет</t>
        </is>
      </c>
      <c r="G734" s="7" t="n"/>
      <c r="H734">
        <f>VLOOKUP(C734,Автомобили!$A$2:$G$1000,3,0)</f>
        <v/>
      </c>
      <c r="I734">
        <f>VLOOKUP(D734,Клиенты!$A$2:$D$1000,2,0)</f>
        <v/>
      </c>
      <c r="J734">
        <f>IF(AND(H734="Kaptur",I734="Окраинов Л.Г.",YEAR(B734)=2020),E734,0)</f>
        <v/>
      </c>
    </row>
    <row r="735">
      <c r="A735" s="6" t="n">
        <v>734</v>
      </c>
      <c r="B735" s="13" t="n">
        <v>44014</v>
      </c>
      <c r="C735" s="6" t="inlineStr">
        <is>
          <t>A19</t>
        </is>
      </c>
      <c r="D735" s="6" t="n">
        <v>15</v>
      </c>
      <c r="E735" s="15" t="n">
        <v>186</v>
      </c>
      <c r="F735" s="5" t="inlineStr">
        <is>
          <t>нет</t>
        </is>
      </c>
      <c r="G735" s="7" t="n"/>
      <c r="H735">
        <f>VLOOKUP(C735,Автомобили!$A$2:$G$1000,3,0)</f>
        <v/>
      </c>
      <c r="I735">
        <f>VLOOKUP(D735,Клиенты!$A$2:$D$1000,2,0)</f>
        <v/>
      </c>
      <c r="J735">
        <f>IF(AND(H735="Kaptur",I735="Окраинов Л.Г.",YEAR(B735)=2020),E735,0)</f>
        <v/>
      </c>
    </row>
    <row r="736">
      <c r="A736" s="6" t="n">
        <v>735</v>
      </c>
      <c r="B736" s="13" t="n">
        <v>44014</v>
      </c>
      <c r="C736" s="6" t="inlineStr">
        <is>
          <t>A60</t>
        </is>
      </c>
      <c r="D736" s="6" t="n">
        <v>9</v>
      </c>
      <c r="E736" s="15" t="n">
        <v>338</v>
      </c>
      <c r="F736" s="5" t="inlineStr">
        <is>
          <t>нет</t>
        </is>
      </c>
      <c r="G736" s="7" t="n"/>
      <c r="H736">
        <f>VLOOKUP(C736,Автомобили!$A$2:$G$1000,3,0)</f>
        <v/>
      </c>
      <c r="I736">
        <f>VLOOKUP(D736,Клиенты!$A$2:$D$1000,2,0)</f>
        <v/>
      </c>
      <c r="J736">
        <f>IF(AND(H736="Kaptur",I736="Окраинов Л.Г.",YEAR(B736)=2020),E736,0)</f>
        <v/>
      </c>
    </row>
    <row r="737">
      <c r="A737" s="6" t="n">
        <v>736</v>
      </c>
      <c r="B737" s="13" t="n">
        <v>44014</v>
      </c>
      <c r="C737" s="6" t="inlineStr">
        <is>
          <t>A48</t>
        </is>
      </c>
      <c r="D737" s="6" t="n">
        <v>7</v>
      </c>
      <c r="E737" s="15" t="n">
        <v>286</v>
      </c>
      <c r="F737" s="5" t="inlineStr">
        <is>
          <t>нет</t>
        </is>
      </c>
      <c r="G737" s="7" t="n"/>
      <c r="H737">
        <f>VLOOKUP(C737,Автомобили!$A$2:$G$1000,3,0)</f>
        <v/>
      </c>
      <c r="I737">
        <f>VLOOKUP(D737,Клиенты!$A$2:$D$1000,2,0)</f>
        <v/>
      </c>
      <c r="J737">
        <f>IF(AND(H737="Kaptur",I737="Окраинов Л.Г.",YEAR(B737)=2020),E737,0)</f>
        <v/>
      </c>
    </row>
    <row r="738">
      <c r="A738" s="6" t="n">
        <v>737</v>
      </c>
      <c r="B738" s="13" t="n">
        <v>44015</v>
      </c>
      <c r="C738" s="6" t="inlineStr">
        <is>
          <t>A56</t>
        </is>
      </c>
      <c r="D738" s="6" t="n">
        <v>11</v>
      </c>
      <c r="E738" s="15" t="n">
        <v>322</v>
      </c>
      <c r="F738" s="5" t="inlineStr">
        <is>
          <t>нет</t>
        </is>
      </c>
      <c r="G738" s="7" t="n"/>
      <c r="H738">
        <f>VLOOKUP(C738,Автомобили!$A$2:$G$1000,3,0)</f>
        <v/>
      </c>
      <c r="I738">
        <f>VLOOKUP(D738,Клиенты!$A$2:$D$1000,2,0)</f>
        <v/>
      </c>
      <c r="J738">
        <f>IF(AND(H738="Kaptur",I738="Окраинов Л.Г.",YEAR(B738)=2020),E738,0)</f>
        <v/>
      </c>
    </row>
    <row r="739">
      <c r="A739" s="6" t="n">
        <v>738</v>
      </c>
      <c r="B739" s="13" t="n">
        <v>44015</v>
      </c>
      <c r="C739" s="6" t="inlineStr">
        <is>
          <t>A33</t>
        </is>
      </c>
      <c r="D739" s="6" t="n">
        <v>2</v>
      </c>
      <c r="E739" s="15" t="n">
        <v>161</v>
      </c>
      <c r="F739" s="5" t="inlineStr">
        <is>
          <t>нет</t>
        </is>
      </c>
      <c r="G739" s="7" t="n"/>
      <c r="H739">
        <f>VLOOKUP(C739,Автомобили!$A$2:$G$1000,3,0)</f>
        <v/>
      </c>
      <c r="I739">
        <f>VLOOKUP(D739,Клиенты!$A$2:$D$1000,2,0)</f>
        <v/>
      </c>
      <c r="J739">
        <f>IF(AND(H739="Kaptur",I739="Окраинов Л.Г.",YEAR(B739)=2020),E739,0)</f>
        <v/>
      </c>
    </row>
    <row r="740">
      <c r="A740" s="6" t="n">
        <v>739</v>
      </c>
      <c r="B740" s="13" t="n">
        <v>44015</v>
      </c>
      <c r="C740" s="6" t="inlineStr">
        <is>
          <t>A38</t>
        </is>
      </c>
      <c r="D740" s="6" t="n">
        <v>4</v>
      </c>
      <c r="E740" s="15" t="n">
        <v>185</v>
      </c>
      <c r="F740" s="5" t="inlineStr">
        <is>
          <t>нет</t>
        </is>
      </c>
      <c r="G740" s="7" t="n"/>
      <c r="H740">
        <f>VLOOKUP(C740,Автомобили!$A$2:$G$1000,3,0)</f>
        <v/>
      </c>
      <c r="I740">
        <f>VLOOKUP(D740,Клиенты!$A$2:$D$1000,2,0)</f>
        <v/>
      </c>
      <c r="J740">
        <f>IF(AND(H740="Kaptur",I740="Окраинов Л.Г.",YEAR(B740)=2020),E740,0)</f>
        <v/>
      </c>
    </row>
    <row r="741">
      <c r="A741" s="6" t="n">
        <v>740</v>
      </c>
      <c r="B741" s="13" t="n">
        <v>44015</v>
      </c>
      <c r="C741" s="6" t="inlineStr">
        <is>
          <t>A45</t>
        </is>
      </c>
      <c r="D741" s="6" t="n">
        <v>15</v>
      </c>
      <c r="E741" s="15" t="n">
        <v>226</v>
      </c>
      <c r="F741" s="5" t="inlineStr">
        <is>
          <t>нет</t>
        </is>
      </c>
      <c r="G741" s="7" t="n"/>
      <c r="H741">
        <f>VLOOKUP(C741,Автомобили!$A$2:$G$1000,3,0)</f>
        <v/>
      </c>
      <c r="I741">
        <f>VLOOKUP(D741,Клиенты!$A$2:$D$1000,2,0)</f>
        <v/>
      </c>
      <c r="J741">
        <f>IF(AND(H741="Kaptur",I741="Окраинов Л.Г.",YEAR(B741)=2020),E741,0)</f>
        <v/>
      </c>
    </row>
    <row r="742">
      <c r="A742" s="6" t="n">
        <v>741</v>
      </c>
      <c r="B742" s="13" t="n">
        <v>44016</v>
      </c>
      <c r="C742" s="6" t="inlineStr">
        <is>
          <t>A23</t>
        </is>
      </c>
      <c r="D742" s="6" t="n">
        <v>13</v>
      </c>
      <c r="E742" s="15" t="n">
        <v>447</v>
      </c>
      <c r="F742" s="5" t="inlineStr">
        <is>
          <t>нет</t>
        </is>
      </c>
      <c r="G742" s="7" t="n"/>
      <c r="H742">
        <f>VLOOKUP(C742,Автомобили!$A$2:$G$1000,3,0)</f>
        <v/>
      </c>
      <c r="I742">
        <f>VLOOKUP(D742,Клиенты!$A$2:$D$1000,2,0)</f>
        <v/>
      </c>
      <c r="J742">
        <f>IF(AND(H742="Kaptur",I742="Окраинов Л.Г.",YEAR(B742)=2020),E742,0)</f>
        <v/>
      </c>
    </row>
    <row r="743">
      <c r="A743" s="6" t="n">
        <v>742</v>
      </c>
      <c r="B743" s="13" t="n">
        <v>44016</v>
      </c>
      <c r="C743" s="6" t="inlineStr">
        <is>
          <t>A46</t>
        </is>
      </c>
      <c r="D743" s="6" t="n">
        <v>4</v>
      </c>
      <c r="E743" s="15" t="n">
        <v>376</v>
      </c>
      <c r="F743" s="5" t="inlineStr">
        <is>
          <t>нет</t>
        </is>
      </c>
      <c r="G743" s="7" t="n"/>
      <c r="H743">
        <f>VLOOKUP(C743,Автомобили!$A$2:$G$1000,3,0)</f>
        <v/>
      </c>
      <c r="I743">
        <f>VLOOKUP(D743,Клиенты!$A$2:$D$1000,2,0)</f>
        <v/>
      </c>
      <c r="J743">
        <f>IF(AND(H743="Kaptur",I743="Окраинов Л.Г.",YEAR(B743)=2020),E743,0)</f>
        <v/>
      </c>
    </row>
    <row r="744">
      <c r="A744" s="6" t="n">
        <v>743</v>
      </c>
      <c r="B744" s="13" t="n">
        <v>44016</v>
      </c>
      <c r="C744" s="6" t="inlineStr">
        <is>
          <t>A25</t>
        </is>
      </c>
      <c r="D744" s="6" t="n">
        <v>1</v>
      </c>
      <c r="E744" s="15" t="n">
        <v>209</v>
      </c>
      <c r="F744" s="5" t="inlineStr">
        <is>
          <t>нет</t>
        </is>
      </c>
      <c r="G744" s="7" t="n"/>
      <c r="H744">
        <f>VLOOKUP(C744,Автомобили!$A$2:$G$1000,3,0)</f>
        <v/>
      </c>
      <c r="I744">
        <f>VLOOKUP(D744,Клиенты!$A$2:$D$1000,2,0)</f>
        <v/>
      </c>
      <c r="J744">
        <f>IF(AND(H744="Kaptur",I744="Окраинов Л.Г.",YEAR(B744)=2020),E744,0)</f>
        <v/>
      </c>
    </row>
    <row r="745">
      <c r="A745" s="6" t="n">
        <v>744</v>
      </c>
      <c r="B745" s="13" t="n">
        <v>44016</v>
      </c>
      <c r="C745" s="6" t="inlineStr">
        <is>
          <t>A56</t>
        </is>
      </c>
      <c r="D745" s="6" t="n">
        <v>5</v>
      </c>
      <c r="E745" s="15" t="n">
        <v>287</v>
      </c>
      <c r="F745" s="5" t="inlineStr">
        <is>
          <t>нет</t>
        </is>
      </c>
      <c r="G745" s="7" t="n"/>
      <c r="H745">
        <f>VLOOKUP(C745,Автомобили!$A$2:$G$1000,3,0)</f>
        <v/>
      </c>
      <c r="I745">
        <f>VLOOKUP(D745,Клиенты!$A$2:$D$1000,2,0)</f>
        <v/>
      </c>
      <c r="J745">
        <f>IF(AND(H745="Kaptur",I745="Окраинов Л.Г.",YEAR(B745)=2020),E745,0)</f>
        <v/>
      </c>
    </row>
    <row r="746">
      <c r="A746" s="6" t="n">
        <v>745</v>
      </c>
      <c r="B746" s="13" t="n">
        <v>44017</v>
      </c>
      <c r="C746" s="6" t="inlineStr">
        <is>
          <t>A9</t>
        </is>
      </c>
      <c r="D746" s="6" t="n">
        <v>12</v>
      </c>
      <c r="E746" s="15" t="n">
        <v>383</v>
      </c>
      <c r="F746" s="5" t="inlineStr">
        <is>
          <t>нет</t>
        </is>
      </c>
      <c r="G746" s="7" t="n"/>
      <c r="H746">
        <f>VLOOKUP(C746,Автомобили!$A$2:$G$1000,3,0)</f>
        <v/>
      </c>
      <c r="I746">
        <f>VLOOKUP(D746,Клиенты!$A$2:$D$1000,2,0)</f>
        <v/>
      </c>
      <c r="J746">
        <f>IF(AND(H746="Kaptur",I746="Окраинов Л.Г.",YEAR(B746)=2020),E746,0)</f>
        <v/>
      </c>
    </row>
    <row r="747">
      <c r="A747" s="6" t="n">
        <v>746</v>
      </c>
      <c r="B747" s="13" t="n">
        <v>44017</v>
      </c>
      <c r="C747" s="6" t="inlineStr">
        <is>
          <t>A30</t>
        </is>
      </c>
      <c r="D747" s="6" t="n">
        <v>10</v>
      </c>
      <c r="E747" s="15" t="n">
        <v>201</v>
      </c>
      <c r="F747" s="5" t="inlineStr">
        <is>
          <t>нет</t>
        </is>
      </c>
      <c r="G747" s="7" t="n"/>
      <c r="H747">
        <f>VLOOKUP(C747,Автомобили!$A$2:$G$1000,3,0)</f>
        <v/>
      </c>
      <c r="I747">
        <f>VLOOKUP(D747,Клиенты!$A$2:$D$1000,2,0)</f>
        <v/>
      </c>
      <c r="J747">
        <f>IF(AND(H747="Kaptur",I747="Окраинов Л.Г.",YEAR(B747)=2020),E747,0)</f>
        <v/>
      </c>
    </row>
    <row r="748">
      <c r="A748" s="6" t="n">
        <v>747</v>
      </c>
      <c r="B748" s="13" t="n">
        <v>44017</v>
      </c>
      <c r="C748" s="6" t="inlineStr">
        <is>
          <t>A9</t>
        </is>
      </c>
      <c r="D748" s="6" t="n">
        <v>8</v>
      </c>
      <c r="E748" s="15" t="n">
        <v>229</v>
      </c>
      <c r="F748" s="5" t="inlineStr">
        <is>
          <t>нет</t>
        </is>
      </c>
      <c r="G748" s="7" t="n"/>
      <c r="H748">
        <f>VLOOKUP(C748,Автомобили!$A$2:$G$1000,3,0)</f>
        <v/>
      </c>
      <c r="I748">
        <f>VLOOKUP(D748,Клиенты!$A$2:$D$1000,2,0)</f>
        <v/>
      </c>
      <c r="J748">
        <f>IF(AND(H748="Kaptur",I748="Окраинов Л.Г.",YEAR(B748)=2020),E748,0)</f>
        <v/>
      </c>
    </row>
    <row r="749">
      <c r="A749" s="6" t="n">
        <v>748</v>
      </c>
      <c r="B749" s="13" t="n">
        <v>44017</v>
      </c>
      <c r="C749" s="6" t="inlineStr">
        <is>
          <t>A34</t>
        </is>
      </c>
      <c r="D749" s="6" t="n">
        <v>8</v>
      </c>
      <c r="E749" s="15" t="n">
        <v>288</v>
      </c>
      <c r="F749" s="5" t="inlineStr">
        <is>
          <t>нет</t>
        </is>
      </c>
      <c r="G749" s="7" t="n"/>
      <c r="H749">
        <f>VLOOKUP(C749,Автомобили!$A$2:$G$1000,3,0)</f>
        <v/>
      </c>
      <c r="I749">
        <f>VLOOKUP(D749,Клиенты!$A$2:$D$1000,2,0)</f>
        <v/>
      </c>
      <c r="J749">
        <f>IF(AND(H749="Kaptur",I749="Окраинов Л.Г.",YEAR(B749)=2020),E749,0)</f>
        <v/>
      </c>
    </row>
    <row r="750">
      <c r="A750" s="6" t="n">
        <v>749</v>
      </c>
      <c r="B750" s="13" t="n">
        <v>44018</v>
      </c>
      <c r="C750" s="6" t="inlineStr">
        <is>
          <t>A22</t>
        </is>
      </c>
      <c r="D750" s="6" t="n">
        <v>8</v>
      </c>
      <c r="E750" s="15" t="n">
        <v>448</v>
      </c>
      <c r="F750" s="5" t="inlineStr">
        <is>
          <t>нет</t>
        </is>
      </c>
      <c r="G750" s="7" t="n"/>
      <c r="H750">
        <f>VLOOKUP(C750,Автомобили!$A$2:$G$1000,3,0)</f>
        <v/>
      </c>
      <c r="I750">
        <f>VLOOKUP(D750,Клиенты!$A$2:$D$1000,2,0)</f>
        <v/>
      </c>
      <c r="J750">
        <f>IF(AND(H750="Kaptur",I750="Окраинов Л.Г.",YEAR(B750)=2020),E750,0)</f>
        <v/>
      </c>
    </row>
    <row r="751">
      <c r="A751" s="6" t="n">
        <v>750</v>
      </c>
      <c r="B751" s="13" t="n">
        <v>44018</v>
      </c>
      <c r="C751" s="6" t="inlineStr">
        <is>
          <t>A46</t>
        </is>
      </c>
      <c r="D751" s="6" t="n">
        <v>6</v>
      </c>
      <c r="E751" s="15" t="n">
        <v>183</v>
      </c>
      <c r="F751" s="5" t="inlineStr">
        <is>
          <t>нет</t>
        </is>
      </c>
      <c r="G751" s="7" t="n"/>
      <c r="H751">
        <f>VLOOKUP(C751,Автомобили!$A$2:$G$1000,3,0)</f>
        <v/>
      </c>
      <c r="I751">
        <f>VLOOKUP(D751,Клиенты!$A$2:$D$1000,2,0)</f>
        <v/>
      </c>
      <c r="J751">
        <f>IF(AND(H751="Kaptur",I751="Окраинов Л.Г.",YEAR(B751)=2020),E751,0)</f>
        <v/>
      </c>
    </row>
    <row r="752">
      <c r="A752" s="6" t="n">
        <v>751</v>
      </c>
      <c r="B752" s="13" t="n">
        <v>44018</v>
      </c>
      <c r="C752" s="6" t="inlineStr">
        <is>
          <t>A64</t>
        </is>
      </c>
      <c r="D752" s="6" t="n">
        <v>4</v>
      </c>
      <c r="E752" s="15" t="n">
        <v>381</v>
      </c>
      <c r="F752" s="5" t="inlineStr">
        <is>
          <t>нет</t>
        </is>
      </c>
      <c r="G752" s="7" t="n"/>
      <c r="H752">
        <f>VLOOKUP(C752,Автомобили!$A$2:$G$1000,3,0)</f>
        <v/>
      </c>
      <c r="I752">
        <f>VLOOKUP(D752,Клиенты!$A$2:$D$1000,2,0)</f>
        <v/>
      </c>
      <c r="J752">
        <f>IF(AND(H752="Kaptur",I752="Окраинов Л.Г.",YEAR(B752)=2020),E752,0)</f>
        <v/>
      </c>
    </row>
    <row r="753">
      <c r="A753" s="6" t="n">
        <v>752</v>
      </c>
      <c r="B753" s="13" t="n">
        <v>44018</v>
      </c>
      <c r="C753" s="6" t="inlineStr">
        <is>
          <t>A60</t>
        </is>
      </c>
      <c r="D753" s="6" t="n">
        <v>3</v>
      </c>
      <c r="E753" s="15" t="n">
        <v>173</v>
      </c>
      <c r="F753" s="5" t="inlineStr">
        <is>
          <t>нет</t>
        </is>
      </c>
      <c r="G753" s="7" t="n"/>
      <c r="H753">
        <f>VLOOKUP(C753,Автомобили!$A$2:$G$1000,3,0)</f>
        <v/>
      </c>
      <c r="I753">
        <f>VLOOKUP(D753,Клиенты!$A$2:$D$1000,2,0)</f>
        <v/>
      </c>
      <c r="J753">
        <f>IF(AND(H753="Kaptur",I753="Окраинов Л.Г.",YEAR(B753)=2020),E753,0)</f>
        <v/>
      </c>
    </row>
    <row r="754">
      <c r="A754" s="6" t="n">
        <v>753</v>
      </c>
      <c r="B754" s="13" t="n">
        <v>44019</v>
      </c>
      <c r="C754" s="6" t="inlineStr">
        <is>
          <t>A32</t>
        </is>
      </c>
      <c r="D754" s="6" t="n">
        <v>8</v>
      </c>
      <c r="E754" s="15" t="n">
        <v>275</v>
      </c>
      <c r="F754" s="5" t="inlineStr">
        <is>
          <t>нет</t>
        </is>
      </c>
      <c r="G754" s="7" t="n"/>
      <c r="H754">
        <f>VLOOKUP(C754,Автомобили!$A$2:$G$1000,3,0)</f>
        <v/>
      </c>
      <c r="I754">
        <f>VLOOKUP(D754,Клиенты!$A$2:$D$1000,2,0)</f>
        <v/>
      </c>
      <c r="J754">
        <f>IF(AND(H754="Kaptur",I754="Окраинов Л.Г.",YEAR(B754)=2020),E754,0)</f>
        <v/>
      </c>
    </row>
    <row r="755">
      <c r="A755" s="6" t="n">
        <v>754</v>
      </c>
      <c r="B755" s="13" t="n">
        <v>44019</v>
      </c>
      <c r="C755" s="6" t="inlineStr">
        <is>
          <t>A24</t>
        </is>
      </c>
      <c r="D755" s="6" t="n">
        <v>14</v>
      </c>
      <c r="E755" s="15" t="n">
        <v>446</v>
      </c>
      <c r="F755" s="5" t="inlineStr">
        <is>
          <t>нет</t>
        </is>
      </c>
      <c r="G755" s="7" t="n"/>
      <c r="H755">
        <f>VLOOKUP(C755,Автомобили!$A$2:$G$1000,3,0)</f>
        <v/>
      </c>
      <c r="I755">
        <f>VLOOKUP(D755,Клиенты!$A$2:$D$1000,2,0)</f>
        <v/>
      </c>
      <c r="J755">
        <f>IF(AND(H755="Kaptur",I755="Окраинов Л.Г.",YEAR(B755)=2020),E755,0)</f>
        <v/>
      </c>
    </row>
    <row r="756">
      <c r="A756" s="6" t="n">
        <v>755</v>
      </c>
      <c r="B756" s="13" t="n">
        <v>44019</v>
      </c>
      <c r="C756" s="6" t="inlineStr">
        <is>
          <t>A10</t>
        </is>
      </c>
      <c r="D756" s="6" t="n">
        <v>12</v>
      </c>
      <c r="E756" s="15" t="n">
        <v>259</v>
      </c>
      <c r="F756" s="5" t="inlineStr">
        <is>
          <t>нет</t>
        </is>
      </c>
      <c r="G756" s="7" t="n"/>
      <c r="H756">
        <f>VLOOKUP(C756,Автомобили!$A$2:$G$1000,3,0)</f>
        <v/>
      </c>
      <c r="I756">
        <f>VLOOKUP(D756,Клиенты!$A$2:$D$1000,2,0)</f>
        <v/>
      </c>
      <c r="J756">
        <f>IF(AND(H756="Kaptur",I756="Окраинов Л.Г.",YEAR(B756)=2020),E756,0)</f>
        <v/>
      </c>
    </row>
    <row r="757">
      <c r="A757" s="6" t="n">
        <v>756</v>
      </c>
      <c r="B757" s="13" t="n">
        <v>44019</v>
      </c>
      <c r="C757" s="6" t="inlineStr">
        <is>
          <t>A5</t>
        </is>
      </c>
      <c r="D757" s="6" t="n">
        <v>14</v>
      </c>
      <c r="E757" s="15" t="n">
        <v>296</v>
      </c>
      <c r="F757" s="5" t="inlineStr">
        <is>
          <t>нет</t>
        </is>
      </c>
      <c r="G757" s="7" t="n"/>
      <c r="H757">
        <f>VLOOKUP(C757,Автомобили!$A$2:$G$1000,3,0)</f>
        <v/>
      </c>
      <c r="I757">
        <f>VLOOKUP(D757,Клиенты!$A$2:$D$1000,2,0)</f>
        <v/>
      </c>
      <c r="J757">
        <f>IF(AND(H757="Kaptur",I757="Окраинов Л.Г.",YEAR(B757)=2020),E757,0)</f>
        <v/>
      </c>
    </row>
    <row r="758">
      <c r="A758" s="6" t="n">
        <v>757</v>
      </c>
      <c r="B758" s="13" t="n">
        <v>44020</v>
      </c>
      <c r="C758" s="6" t="inlineStr">
        <is>
          <t>A23</t>
        </is>
      </c>
      <c r="D758" s="6" t="n">
        <v>5</v>
      </c>
      <c r="E758" s="15" t="n">
        <v>219</v>
      </c>
      <c r="F758" s="5" t="inlineStr">
        <is>
          <t>нет</t>
        </is>
      </c>
      <c r="G758" s="7" t="n"/>
      <c r="H758">
        <f>VLOOKUP(C758,Автомобили!$A$2:$G$1000,3,0)</f>
        <v/>
      </c>
      <c r="I758">
        <f>VLOOKUP(D758,Клиенты!$A$2:$D$1000,2,0)</f>
        <v/>
      </c>
      <c r="J758">
        <f>IF(AND(H758="Kaptur",I758="Окраинов Л.Г.",YEAR(B758)=2020),E758,0)</f>
        <v/>
      </c>
    </row>
    <row r="759">
      <c r="A759" s="6" t="n">
        <v>758</v>
      </c>
      <c r="B759" s="13" t="n">
        <v>44020</v>
      </c>
      <c r="C759" s="6" t="inlineStr">
        <is>
          <t>A8</t>
        </is>
      </c>
      <c r="D759" s="6" t="n">
        <v>12</v>
      </c>
      <c r="E759" s="15" t="n">
        <v>213</v>
      </c>
      <c r="F759" s="5" t="inlineStr">
        <is>
          <t>нет</t>
        </is>
      </c>
      <c r="G759" s="7" t="n"/>
      <c r="H759">
        <f>VLOOKUP(C759,Автомобили!$A$2:$G$1000,3,0)</f>
        <v/>
      </c>
      <c r="I759">
        <f>VLOOKUP(D759,Клиенты!$A$2:$D$1000,2,0)</f>
        <v/>
      </c>
      <c r="J759">
        <f>IF(AND(H759="Kaptur",I759="Окраинов Л.Г.",YEAR(B759)=2020),E759,0)</f>
        <v/>
      </c>
    </row>
    <row r="760">
      <c r="A760" s="6" t="n">
        <v>759</v>
      </c>
      <c r="B760" s="13" t="n">
        <v>44020</v>
      </c>
      <c r="C760" s="6" t="inlineStr">
        <is>
          <t>A5</t>
        </is>
      </c>
      <c r="D760" s="6" t="n">
        <v>4</v>
      </c>
      <c r="E760" s="15" t="n">
        <v>386</v>
      </c>
      <c r="F760" s="5" t="inlineStr">
        <is>
          <t>нет</t>
        </is>
      </c>
      <c r="G760" s="7" t="n"/>
      <c r="H760">
        <f>VLOOKUP(C760,Автомобили!$A$2:$G$1000,3,0)</f>
        <v/>
      </c>
      <c r="I760">
        <f>VLOOKUP(D760,Клиенты!$A$2:$D$1000,2,0)</f>
        <v/>
      </c>
      <c r="J760">
        <f>IF(AND(H760="Kaptur",I760="Окраинов Л.Г.",YEAR(B760)=2020),E760,0)</f>
        <v/>
      </c>
    </row>
    <row r="761">
      <c r="A761" s="6" t="n">
        <v>760</v>
      </c>
      <c r="B761" s="13" t="n">
        <v>44020</v>
      </c>
      <c r="C761" s="6" t="inlineStr">
        <is>
          <t>A45</t>
        </is>
      </c>
      <c r="D761" s="6" t="n">
        <v>2</v>
      </c>
      <c r="E761" s="15" t="n">
        <v>138</v>
      </c>
      <c r="F761" s="5" t="inlineStr">
        <is>
          <t>нет</t>
        </is>
      </c>
      <c r="G761" s="7" t="n"/>
      <c r="H761">
        <f>VLOOKUP(C761,Автомобили!$A$2:$G$1000,3,0)</f>
        <v/>
      </c>
      <c r="I761">
        <f>VLOOKUP(D761,Клиенты!$A$2:$D$1000,2,0)</f>
        <v/>
      </c>
      <c r="J761">
        <f>IF(AND(H761="Kaptur",I761="Окраинов Л.Г.",YEAR(B761)=2020),E761,0)</f>
        <v/>
      </c>
    </row>
    <row r="762">
      <c r="A762" s="6" t="n">
        <v>761</v>
      </c>
      <c r="B762" s="13" t="n">
        <v>44021</v>
      </c>
      <c r="C762" s="6" t="inlineStr">
        <is>
          <t>A10</t>
        </is>
      </c>
      <c r="D762" s="6" t="n">
        <v>1</v>
      </c>
      <c r="E762" s="15" t="n">
        <v>178</v>
      </c>
      <c r="F762" s="5" t="inlineStr">
        <is>
          <t>нет</t>
        </is>
      </c>
      <c r="G762" s="7" t="n"/>
      <c r="H762">
        <f>VLOOKUP(C762,Автомобили!$A$2:$G$1000,3,0)</f>
        <v/>
      </c>
      <c r="I762">
        <f>VLOOKUP(D762,Клиенты!$A$2:$D$1000,2,0)</f>
        <v/>
      </c>
      <c r="J762">
        <f>IF(AND(H762="Kaptur",I762="Окраинов Л.Г.",YEAR(B762)=2020),E762,0)</f>
        <v/>
      </c>
    </row>
    <row r="763">
      <c r="A763" s="6" t="n">
        <v>762</v>
      </c>
      <c r="B763" s="13" t="n">
        <v>44021</v>
      </c>
      <c r="C763" s="6" t="inlineStr">
        <is>
          <t>A6</t>
        </is>
      </c>
      <c r="D763" s="6" t="n">
        <v>2</v>
      </c>
      <c r="E763" s="15" t="n">
        <v>213</v>
      </c>
      <c r="F763" s="5" t="inlineStr">
        <is>
          <t>нет</t>
        </is>
      </c>
      <c r="G763" s="7" t="n"/>
      <c r="H763">
        <f>VLOOKUP(C763,Автомобили!$A$2:$G$1000,3,0)</f>
        <v/>
      </c>
      <c r="I763">
        <f>VLOOKUP(D763,Клиенты!$A$2:$D$1000,2,0)</f>
        <v/>
      </c>
      <c r="J763">
        <f>IF(AND(H763="Kaptur",I763="Окраинов Л.Г.",YEAR(B763)=2020),E763,0)</f>
        <v/>
      </c>
    </row>
    <row r="764">
      <c r="A764" s="6" t="n">
        <v>763</v>
      </c>
      <c r="B764" s="13" t="n">
        <v>44021</v>
      </c>
      <c r="C764" s="6" t="inlineStr">
        <is>
          <t>A31</t>
        </is>
      </c>
      <c r="D764" s="6" t="n">
        <v>8</v>
      </c>
      <c r="E764" s="15" t="n">
        <v>233</v>
      </c>
      <c r="F764" s="5" t="inlineStr">
        <is>
          <t>нет</t>
        </is>
      </c>
      <c r="G764" s="7" t="n"/>
      <c r="H764">
        <f>VLOOKUP(C764,Автомобили!$A$2:$G$1000,3,0)</f>
        <v/>
      </c>
      <c r="I764">
        <f>VLOOKUP(D764,Клиенты!$A$2:$D$1000,2,0)</f>
        <v/>
      </c>
      <c r="J764">
        <f>IF(AND(H764="Kaptur",I764="Окраинов Л.Г.",YEAR(B764)=2020),E764,0)</f>
        <v/>
      </c>
    </row>
    <row r="765">
      <c r="A765" s="6" t="n">
        <v>764</v>
      </c>
      <c r="B765" s="13" t="n">
        <v>44021</v>
      </c>
      <c r="C765" s="6" t="inlineStr">
        <is>
          <t>A19</t>
        </is>
      </c>
      <c r="D765" s="6" t="n">
        <v>12</v>
      </c>
      <c r="E765" s="15" t="n">
        <v>264</v>
      </c>
      <c r="F765" s="5" t="inlineStr">
        <is>
          <t>нет</t>
        </is>
      </c>
      <c r="G765" s="7" t="n"/>
      <c r="H765">
        <f>VLOOKUP(C765,Автомобили!$A$2:$G$1000,3,0)</f>
        <v/>
      </c>
      <c r="I765">
        <f>VLOOKUP(D765,Клиенты!$A$2:$D$1000,2,0)</f>
        <v/>
      </c>
      <c r="J765">
        <f>IF(AND(H765="Kaptur",I765="Окраинов Л.Г.",YEAR(B765)=2020),E765,0)</f>
        <v/>
      </c>
    </row>
    <row r="766">
      <c r="A766" s="6" t="n">
        <v>765</v>
      </c>
      <c r="B766" s="13" t="n">
        <v>44022</v>
      </c>
      <c r="C766" s="6" t="inlineStr">
        <is>
          <t>A8</t>
        </is>
      </c>
      <c r="D766" s="6" t="n">
        <v>3</v>
      </c>
      <c r="E766" s="15" t="n">
        <v>347</v>
      </c>
      <c r="F766" s="5" t="inlineStr">
        <is>
          <t>нет</t>
        </is>
      </c>
      <c r="G766" s="7" t="n"/>
      <c r="H766">
        <f>VLOOKUP(C766,Автомобили!$A$2:$G$1000,3,0)</f>
        <v/>
      </c>
      <c r="I766">
        <f>VLOOKUP(D766,Клиенты!$A$2:$D$1000,2,0)</f>
        <v/>
      </c>
      <c r="J766">
        <f>IF(AND(H766="Kaptur",I766="Окраинов Л.Г.",YEAR(B766)=2020),E766,0)</f>
        <v/>
      </c>
    </row>
    <row r="767">
      <c r="A767" s="6" t="n">
        <v>766</v>
      </c>
      <c r="B767" s="13" t="n">
        <v>44022</v>
      </c>
      <c r="C767" s="6" t="inlineStr">
        <is>
          <t>A19</t>
        </is>
      </c>
      <c r="D767" s="6" t="n">
        <v>4</v>
      </c>
      <c r="E767" s="15" t="n">
        <v>110</v>
      </c>
      <c r="F767" s="5" t="inlineStr">
        <is>
          <t>нет</t>
        </is>
      </c>
      <c r="G767" s="7" t="n"/>
      <c r="H767">
        <f>VLOOKUP(C767,Автомобили!$A$2:$G$1000,3,0)</f>
        <v/>
      </c>
      <c r="I767">
        <f>VLOOKUP(D767,Клиенты!$A$2:$D$1000,2,0)</f>
        <v/>
      </c>
      <c r="J767">
        <f>IF(AND(H767="Kaptur",I767="Окраинов Л.Г.",YEAR(B767)=2020),E767,0)</f>
        <v/>
      </c>
    </row>
    <row r="768">
      <c r="A768" s="6" t="n">
        <v>767</v>
      </c>
      <c r="B768" s="13" t="n">
        <v>44022</v>
      </c>
      <c r="C768" s="6" t="inlineStr">
        <is>
          <t>A16</t>
        </is>
      </c>
      <c r="D768" s="6" t="n">
        <v>4</v>
      </c>
      <c r="E768" s="15" t="n">
        <v>190</v>
      </c>
      <c r="F768" s="5" t="inlineStr">
        <is>
          <t>нет</t>
        </is>
      </c>
      <c r="G768" s="7" t="n"/>
      <c r="H768">
        <f>VLOOKUP(C768,Автомобили!$A$2:$G$1000,3,0)</f>
        <v/>
      </c>
      <c r="I768">
        <f>VLOOKUP(D768,Клиенты!$A$2:$D$1000,2,0)</f>
        <v/>
      </c>
      <c r="J768">
        <f>IF(AND(H768="Kaptur",I768="Окраинов Л.Г.",YEAR(B768)=2020),E768,0)</f>
        <v/>
      </c>
    </row>
    <row r="769">
      <c r="A769" s="6" t="n">
        <v>768</v>
      </c>
      <c r="B769" s="13" t="n">
        <v>44022</v>
      </c>
      <c r="C769" s="6" t="inlineStr">
        <is>
          <t>A60</t>
        </is>
      </c>
      <c r="D769" s="6" t="n">
        <v>7</v>
      </c>
      <c r="E769" s="15" t="n">
        <v>156</v>
      </c>
      <c r="F769" s="5" t="inlineStr">
        <is>
          <t>нет</t>
        </is>
      </c>
      <c r="G769" s="7" t="n"/>
      <c r="H769">
        <f>VLOOKUP(C769,Автомобили!$A$2:$G$1000,3,0)</f>
        <v/>
      </c>
      <c r="I769">
        <f>VLOOKUP(D769,Клиенты!$A$2:$D$1000,2,0)</f>
        <v/>
      </c>
      <c r="J769">
        <f>IF(AND(H769="Kaptur",I769="Окраинов Л.Г.",YEAR(B769)=2020),E769,0)</f>
        <v/>
      </c>
    </row>
    <row r="770">
      <c r="A770" s="6" t="n">
        <v>769</v>
      </c>
      <c r="B770" s="13" t="n">
        <v>44023</v>
      </c>
      <c r="C770" s="6" t="inlineStr">
        <is>
          <t>A23</t>
        </is>
      </c>
      <c r="D770" s="6" t="n">
        <v>2</v>
      </c>
      <c r="E770" s="15" t="n">
        <v>348</v>
      </c>
      <c r="F770" s="5" t="inlineStr">
        <is>
          <t>нет</t>
        </is>
      </c>
      <c r="G770" s="7" t="n"/>
      <c r="H770">
        <f>VLOOKUP(C770,Автомобили!$A$2:$G$1000,3,0)</f>
        <v/>
      </c>
      <c r="I770">
        <f>VLOOKUP(D770,Клиенты!$A$2:$D$1000,2,0)</f>
        <v/>
      </c>
      <c r="J770">
        <f>IF(AND(H770="Kaptur",I770="Окраинов Л.Г.",YEAR(B770)=2020),E770,0)</f>
        <v/>
      </c>
    </row>
    <row r="771">
      <c r="A771" s="6" t="n">
        <v>770</v>
      </c>
      <c r="B771" s="13" t="n">
        <v>44023</v>
      </c>
      <c r="C771" s="6" t="inlineStr">
        <is>
          <t>A26</t>
        </is>
      </c>
      <c r="D771" s="6" t="n">
        <v>9</v>
      </c>
      <c r="E771" s="15" t="n">
        <v>97</v>
      </c>
      <c r="F771" s="5" t="inlineStr">
        <is>
          <t>нет</t>
        </is>
      </c>
      <c r="G771" s="7" t="n"/>
      <c r="H771">
        <f>VLOOKUP(C771,Автомобили!$A$2:$G$1000,3,0)</f>
        <v/>
      </c>
      <c r="I771">
        <f>VLOOKUP(D771,Клиенты!$A$2:$D$1000,2,0)</f>
        <v/>
      </c>
      <c r="J771">
        <f>IF(AND(H771="Kaptur",I771="Окраинов Л.Г.",YEAR(B771)=2020),E771,0)</f>
        <v/>
      </c>
    </row>
    <row r="772">
      <c r="A772" s="6" t="n">
        <v>771</v>
      </c>
      <c r="B772" s="13" t="n">
        <v>44023</v>
      </c>
      <c r="C772" s="6" t="inlineStr">
        <is>
          <t>A46</t>
        </is>
      </c>
      <c r="D772" s="6" t="n">
        <v>8</v>
      </c>
      <c r="E772" s="15" t="n">
        <v>252</v>
      </c>
      <c r="F772" s="5" t="inlineStr">
        <is>
          <t>нет</t>
        </is>
      </c>
      <c r="G772" s="7" t="n"/>
      <c r="H772">
        <f>VLOOKUP(C772,Автомобили!$A$2:$G$1000,3,0)</f>
        <v/>
      </c>
      <c r="I772">
        <f>VLOOKUP(D772,Клиенты!$A$2:$D$1000,2,0)</f>
        <v/>
      </c>
      <c r="J772">
        <f>IF(AND(H772="Kaptur",I772="Окраинов Л.Г.",YEAR(B772)=2020),E772,0)</f>
        <v/>
      </c>
    </row>
    <row r="773">
      <c r="A773" s="6" t="n">
        <v>772</v>
      </c>
      <c r="B773" s="13" t="n">
        <v>44023</v>
      </c>
      <c r="C773" s="6" t="inlineStr">
        <is>
          <t>A6</t>
        </is>
      </c>
      <c r="D773" s="6" t="n">
        <v>12</v>
      </c>
      <c r="E773" s="15" t="n">
        <v>153</v>
      </c>
      <c r="F773" s="5" t="inlineStr">
        <is>
          <t>нет</t>
        </is>
      </c>
      <c r="G773" s="7" t="n"/>
      <c r="H773">
        <f>VLOOKUP(C773,Автомобили!$A$2:$G$1000,3,0)</f>
        <v/>
      </c>
      <c r="I773">
        <f>VLOOKUP(D773,Клиенты!$A$2:$D$1000,2,0)</f>
        <v/>
      </c>
      <c r="J773">
        <f>IF(AND(H773="Kaptur",I773="Окраинов Л.Г.",YEAR(B773)=2020),E773,0)</f>
        <v/>
      </c>
    </row>
    <row r="774">
      <c r="A774" s="6" t="n">
        <v>773</v>
      </c>
      <c r="B774" s="13" t="n">
        <v>44024</v>
      </c>
      <c r="C774" s="6" t="inlineStr">
        <is>
          <t>A32</t>
        </is>
      </c>
      <c r="D774" s="6" t="n">
        <v>8</v>
      </c>
      <c r="E774" s="15" t="n">
        <v>100</v>
      </c>
      <c r="F774" s="5" t="inlineStr">
        <is>
          <t>нет</t>
        </is>
      </c>
      <c r="G774" s="7" t="n"/>
      <c r="H774">
        <f>VLOOKUP(C774,Автомобили!$A$2:$G$1000,3,0)</f>
        <v/>
      </c>
      <c r="I774">
        <f>VLOOKUP(D774,Клиенты!$A$2:$D$1000,2,0)</f>
        <v/>
      </c>
      <c r="J774">
        <f>IF(AND(H774="Kaptur",I774="Окраинов Л.Г.",YEAR(B774)=2020),E774,0)</f>
        <v/>
      </c>
    </row>
    <row r="775">
      <c r="A775" s="6" t="n">
        <v>774</v>
      </c>
      <c r="B775" s="13" t="n">
        <v>44024</v>
      </c>
      <c r="C775" s="6" t="inlineStr">
        <is>
          <t>A23</t>
        </is>
      </c>
      <c r="D775" s="6" t="n">
        <v>5</v>
      </c>
      <c r="E775" s="15" t="n">
        <v>95</v>
      </c>
      <c r="F775" s="5" t="inlineStr">
        <is>
          <t>нет</t>
        </is>
      </c>
      <c r="G775" s="7" t="n"/>
      <c r="H775">
        <f>VLOOKUP(C775,Автомобили!$A$2:$G$1000,3,0)</f>
        <v/>
      </c>
      <c r="I775">
        <f>VLOOKUP(D775,Клиенты!$A$2:$D$1000,2,0)</f>
        <v/>
      </c>
      <c r="J775">
        <f>IF(AND(H775="Kaptur",I775="Окраинов Л.Г.",YEAR(B775)=2020),E775,0)</f>
        <v/>
      </c>
    </row>
    <row r="776">
      <c r="A776" s="6" t="n">
        <v>775</v>
      </c>
      <c r="B776" s="13" t="n">
        <v>44024</v>
      </c>
      <c r="C776" s="6" t="inlineStr">
        <is>
          <t>A65</t>
        </is>
      </c>
      <c r="D776" s="6" t="n">
        <v>2</v>
      </c>
      <c r="E776" s="15" t="n">
        <v>375</v>
      </c>
      <c r="F776" s="5" t="inlineStr">
        <is>
          <t>нет</t>
        </is>
      </c>
      <c r="G776" s="7" t="n"/>
      <c r="H776">
        <f>VLOOKUP(C776,Автомобили!$A$2:$G$1000,3,0)</f>
        <v/>
      </c>
      <c r="I776">
        <f>VLOOKUP(D776,Клиенты!$A$2:$D$1000,2,0)</f>
        <v/>
      </c>
      <c r="J776">
        <f>IF(AND(H776="Kaptur",I776="Окраинов Л.Г.",YEAR(B776)=2020),E776,0)</f>
        <v/>
      </c>
    </row>
    <row r="777">
      <c r="A777" s="6" t="n">
        <v>776</v>
      </c>
      <c r="B777" s="13" t="n">
        <v>44024</v>
      </c>
      <c r="C777" s="6" t="inlineStr">
        <is>
          <t>A22</t>
        </is>
      </c>
      <c r="D777" s="6" t="n">
        <v>4</v>
      </c>
      <c r="E777" s="15" t="n">
        <v>196</v>
      </c>
      <c r="F777" s="5" t="inlineStr">
        <is>
          <t>нет</t>
        </is>
      </c>
      <c r="G777" s="7" t="n"/>
      <c r="H777">
        <f>VLOOKUP(C777,Автомобили!$A$2:$G$1000,3,0)</f>
        <v/>
      </c>
      <c r="I777">
        <f>VLOOKUP(D777,Клиенты!$A$2:$D$1000,2,0)</f>
        <v/>
      </c>
      <c r="J777">
        <f>IF(AND(H777="Kaptur",I777="Окраинов Л.Г.",YEAR(B777)=2020),E777,0)</f>
        <v/>
      </c>
    </row>
    <row r="778">
      <c r="A778" s="6" t="n">
        <v>777</v>
      </c>
      <c r="B778" s="13" t="n">
        <v>44025</v>
      </c>
      <c r="C778" s="6" t="inlineStr">
        <is>
          <t>A59</t>
        </is>
      </c>
      <c r="D778" s="6" t="n">
        <v>7</v>
      </c>
      <c r="E778" s="15" t="n">
        <v>394</v>
      </c>
      <c r="F778" s="5" t="inlineStr">
        <is>
          <t>нет</t>
        </is>
      </c>
      <c r="G778" s="7" t="n"/>
      <c r="H778">
        <f>VLOOKUP(C778,Автомобили!$A$2:$G$1000,3,0)</f>
        <v/>
      </c>
      <c r="I778">
        <f>VLOOKUP(D778,Клиенты!$A$2:$D$1000,2,0)</f>
        <v/>
      </c>
      <c r="J778">
        <f>IF(AND(H778="Kaptur",I778="Окраинов Л.Г.",YEAR(B778)=2020),E778,0)</f>
        <v/>
      </c>
    </row>
    <row r="779">
      <c r="A779" s="6" t="n">
        <v>778</v>
      </c>
      <c r="B779" s="13" t="n">
        <v>44025</v>
      </c>
      <c r="C779" s="6" t="inlineStr">
        <is>
          <t>A46</t>
        </is>
      </c>
      <c r="D779" s="6" t="n">
        <v>5</v>
      </c>
      <c r="E779" s="15" t="n">
        <v>191</v>
      </c>
      <c r="F779" s="5" t="inlineStr">
        <is>
          <t>нет</t>
        </is>
      </c>
      <c r="G779" s="7" t="n"/>
      <c r="H779">
        <f>VLOOKUP(C779,Автомобили!$A$2:$G$1000,3,0)</f>
        <v/>
      </c>
      <c r="I779">
        <f>VLOOKUP(D779,Клиенты!$A$2:$D$1000,2,0)</f>
        <v/>
      </c>
      <c r="J779">
        <f>IF(AND(H779="Kaptur",I779="Окраинов Л.Г.",YEAR(B779)=2020),E779,0)</f>
        <v/>
      </c>
    </row>
    <row r="780">
      <c r="A780" s="6" t="n">
        <v>779</v>
      </c>
      <c r="B780" s="13" t="n">
        <v>44025</v>
      </c>
      <c r="C780" s="6" t="inlineStr">
        <is>
          <t>A20</t>
        </is>
      </c>
      <c r="D780" s="6" t="n">
        <v>15</v>
      </c>
      <c r="E780" s="15" t="n">
        <v>172</v>
      </c>
      <c r="F780" s="5" t="inlineStr">
        <is>
          <t>нет</t>
        </is>
      </c>
      <c r="G780" s="7" t="n"/>
      <c r="H780">
        <f>VLOOKUP(C780,Автомобили!$A$2:$G$1000,3,0)</f>
        <v/>
      </c>
      <c r="I780">
        <f>VLOOKUP(D780,Клиенты!$A$2:$D$1000,2,0)</f>
        <v/>
      </c>
      <c r="J780">
        <f>IF(AND(H780="Kaptur",I780="Окраинов Л.Г.",YEAR(B780)=2020),E780,0)</f>
        <v/>
      </c>
    </row>
    <row r="781">
      <c r="A781" s="6" t="n">
        <v>780</v>
      </c>
      <c r="B781" s="13" t="n">
        <v>44025</v>
      </c>
      <c r="C781" s="6" t="inlineStr">
        <is>
          <t>A44</t>
        </is>
      </c>
      <c r="D781" s="6" t="n">
        <v>10</v>
      </c>
      <c r="E781" s="15" t="n">
        <v>276</v>
      </c>
      <c r="F781" s="5" t="inlineStr">
        <is>
          <t>нет</t>
        </is>
      </c>
      <c r="G781" s="7" t="n"/>
      <c r="H781">
        <f>VLOOKUP(C781,Автомобили!$A$2:$G$1000,3,0)</f>
        <v/>
      </c>
      <c r="I781">
        <f>VLOOKUP(D781,Клиенты!$A$2:$D$1000,2,0)</f>
        <v/>
      </c>
      <c r="J781">
        <f>IF(AND(H781="Kaptur",I781="Окраинов Л.Г.",YEAR(B781)=2020),E781,0)</f>
        <v/>
      </c>
    </row>
    <row r="782">
      <c r="A782" s="6" t="n">
        <v>781</v>
      </c>
      <c r="B782" s="13" t="n">
        <v>44026</v>
      </c>
      <c r="C782" s="6" t="inlineStr">
        <is>
          <t>A26</t>
        </is>
      </c>
      <c r="D782" s="6" t="n">
        <v>4</v>
      </c>
      <c r="E782" s="15" t="n">
        <v>381</v>
      </c>
      <c r="F782" s="5" t="inlineStr">
        <is>
          <t>нет</t>
        </is>
      </c>
      <c r="G782" s="7" t="n"/>
      <c r="H782">
        <f>VLOOKUP(C782,Автомобили!$A$2:$G$1000,3,0)</f>
        <v/>
      </c>
      <c r="I782">
        <f>VLOOKUP(D782,Клиенты!$A$2:$D$1000,2,0)</f>
        <v/>
      </c>
      <c r="J782">
        <f>IF(AND(H782="Kaptur",I782="Окраинов Л.Г.",YEAR(B782)=2020),E782,0)</f>
        <v/>
      </c>
    </row>
    <row r="783">
      <c r="A783" s="6" t="n">
        <v>782</v>
      </c>
      <c r="B783" s="13" t="n">
        <v>44026</v>
      </c>
      <c r="C783" s="6" t="inlineStr">
        <is>
          <t>A25</t>
        </is>
      </c>
      <c r="D783" s="6" t="n">
        <v>14</v>
      </c>
      <c r="E783" s="15" t="n">
        <v>300</v>
      </c>
      <c r="F783" s="5" t="inlineStr">
        <is>
          <t>нет</t>
        </is>
      </c>
      <c r="G783" s="7" t="n"/>
      <c r="H783">
        <f>VLOOKUP(C783,Автомобили!$A$2:$G$1000,3,0)</f>
        <v/>
      </c>
      <c r="I783">
        <f>VLOOKUP(D783,Клиенты!$A$2:$D$1000,2,0)</f>
        <v/>
      </c>
      <c r="J783">
        <f>IF(AND(H783="Kaptur",I783="Окраинов Л.Г.",YEAR(B783)=2020),E783,0)</f>
        <v/>
      </c>
    </row>
    <row r="784">
      <c r="A784" s="6" t="n">
        <v>783</v>
      </c>
      <c r="B784" s="13" t="n">
        <v>44026</v>
      </c>
      <c r="C784" s="6" t="inlineStr">
        <is>
          <t>A21</t>
        </is>
      </c>
      <c r="D784" s="6" t="n">
        <v>11</v>
      </c>
      <c r="E784" s="15" t="n">
        <v>443</v>
      </c>
      <c r="F784" s="5" t="inlineStr">
        <is>
          <t>нет</t>
        </is>
      </c>
      <c r="G784" s="7" t="n"/>
      <c r="H784">
        <f>VLOOKUP(C784,Автомобили!$A$2:$G$1000,3,0)</f>
        <v/>
      </c>
      <c r="I784">
        <f>VLOOKUP(D784,Клиенты!$A$2:$D$1000,2,0)</f>
        <v/>
      </c>
      <c r="J784">
        <f>IF(AND(H784="Kaptur",I784="Окраинов Л.Г.",YEAR(B784)=2020),E784,0)</f>
        <v/>
      </c>
    </row>
    <row r="785">
      <c r="A785" s="6" t="n">
        <v>784</v>
      </c>
      <c r="B785" s="13" t="n">
        <v>44026</v>
      </c>
      <c r="C785" s="6" t="inlineStr">
        <is>
          <t>A43</t>
        </is>
      </c>
      <c r="D785" s="6" t="n">
        <v>6</v>
      </c>
      <c r="E785" s="15" t="n">
        <v>80</v>
      </c>
      <c r="F785" s="5" t="inlineStr">
        <is>
          <t>нет</t>
        </is>
      </c>
      <c r="G785" s="7" t="n"/>
      <c r="H785">
        <f>VLOOKUP(C785,Автомобили!$A$2:$G$1000,3,0)</f>
        <v/>
      </c>
      <c r="I785">
        <f>VLOOKUP(D785,Клиенты!$A$2:$D$1000,2,0)</f>
        <v/>
      </c>
      <c r="J785">
        <f>IF(AND(H785="Kaptur",I785="Окраинов Л.Г.",YEAR(B785)=2020),E785,0)</f>
        <v/>
      </c>
    </row>
    <row r="786">
      <c r="A786" s="6" t="n">
        <v>785</v>
      </c>
      <c r="B786" s="13" t="n">
        <v>44027</v>
      </c>
      <c r="C786" s="6" t="inlineStr">
        <is>
          <t>A15</t>
        </is>
      </c>
      <c r="D786" s="6" t="n">
        <v>1</v>
      </c>
      <c r="E786" s="15" t="n">
        <v>354</v>
      </c>
      <c r="F786" s="5" t="inlineStr">
        <is>
          <t>нет</t>
        </is>
      </c>
      <c r="G786" s="7" t="n"/>
      <c r="H786">
        <f>VLOOKUP(C786,Автомобили!$A$2:$G$1000,3,0)</f>
        <v/>
      </c>
      <c r="I786">
        <f>VLOOKUP(D786,Клиенты!$A$2:$D$1000,2,0)</f>
        <v/>
      </c>
      <c r="J786">
        <f>IF(AND(H786="Kaptur",I786="Окраинов Л.Г.",YEAR(B786)=2020),E786,0)</f>
        <v/>
      </c>
    </row>
    <row r="787">
      <c r="A787" s="6" t="n">
        <v>786</v>
      </c>
      <c r="B787" s="13" t="n">
        <v>44027</v>
      </c>
      <c r="C787" s="6" t="inlineStr">
        <is>
          <t>A37</t>
        </is>
      </c>
      <c r="D787" s="6" t="n">
        <v>1</v>
      </c>
      <c r="E787" s="15" t="n">
        <v>205</v>
      </c>
      <c r="F787" s="5" t="inlineStr">
        <is>
          <t>нет</t>
        </is>
      </c>
      <c r="G787" s="7" t="n"/>
      <c r="H787">
        <f>VLOOKUP(C787,Автомобили!$A$2:$G$1000,3,0)</f>
        <v/>
      </c>
      <c r="I787">
        <f>VLOOKUP(D787,Клиенты!$A$2:$D$1000,2,0)</f>
        <v/>
      </c>
      <c r="J787">
        <f>IF(AND(H787="Kaptur",I787="Окраинов Л.Г.",YEAR(B787)=2020),E787,0)</f>
        <v/>
      </c>
    </row>
    <row r="788">
      <c r="A788" s="6" t="n">
        <v>787</v>
      </c>
      <c r="B788" s="13" t="n">
        <v>44027</v>
      </c>
      <c r="C788" s="6" t="inlineStr">
        <is>
          <t>A51</t>
        </is>
      </c>
      <c r="D788" s="6" t="n">
        <v>3</v>
      </c>
      <c r="E788" s="15" t="n">
        <v>213</v>
      </c>
      <c r="F788" s="5" t="inlineStr">
        <is>
          <t>нет</t>
        </is>
      </c>
      <c r="G788" s="7" t="n"/>
      <c r="H788">
        <f>VLOOKUP(C788,Автомобили!$A$2:$G$1000,3,0)</f>
        <v/>
      </c>
      <c r="I788">
        <f>VLOOKUP(D788,Клиенты!$A$2:$D$1000,2,0)</f>
        <v/>
      </c>
      <c r="J788">
        <f>IF(AND(H788="Kaptur",I788="Окраинов Л.Г.",YEAR(B788)=2020),E788,0)</f>
        <v/>
      </c>
    </row>
    <row r="789">
      <c r="A789" s="6" t="n">
        <v>788</v>
      </c>
      <c r="B789" s="13" t="n">
        <v>44027</v>
      </c>
      <c r="C789" s="6" t="inlineStr">
        <is>
          <t>A33</t>
        </is>
      </c>
      <c r="D789" s="6" t="n">
        <v>8</v>
      </c>
      <c r="E789" s="15" t="n">
        <v>276</v>
      </c>
      <c r="F789" s="5" t="inlineStr">
        <is>
          <t>нет</t>
        </is>
      </c>
      <c r="G789" s="7" t="n"/>
      <c r="H789">
        <f>VLOOKUP(C789,Автомобили!$A$2:$G$1000,3,0)</f>
        <v/>
      </c>
      <c r="I789">
        <f>VLOOKUP(D789,Клиенты!$A$2:$D$1000,2,0)</f>
        <v/>
      </c>
      <c r="J789">
        <f>IF(AND(H789="Kaptur",I789="Окраинов Л.Г.",YEAR(B789)=2020),E789,0)</f>
        <v/>
      </c>
    </row>
    <row r="790">
      <c r="A790" s="6" t="n">
        <v>789</v>
      </c>
      <c r="B790" s="13" t="n">
        <v>44028</v>
      </c>
      <c r="C790" s="6" t="inlineStr">
        <is>
          <t>A25</t>
        </is>
      </c>
      <c r="D790" s="6" t="n">
        <v>8</v>
      </c>
      <c r="E790" s="15" t="n">
        <v>254</v>
      </c>
      <c r="F790" s="5" t="inlineStr">
        <is>
          <t>к клиенту</t>
        </is>
      </c>
      <c r="G790" s="7" t="n"/>
      <c r="H790">
        <f>VLOOKUP(C790,Автомобили!$A$2:$G$1000,3,0)</f>
        <v/>
      </c>
      <c r="I790">
        <f>VLOOKUP(D790,Клиенты!$A$2:$D$1000,2,0)</f>
        <v/>
      </c>
      <c r="J790">
        <f>IF(AND(H790="Kaptur",I790="Окраинов Л.Г.",YEAR(B790)=2020),E790,0)</f>
        <v/>
      </c>
    </row>
    <row r="791">
      <c r="A791" s="6" t="n">
        <v>790</v>
      </c>
      <c r="B791" s="13" t="n">
        <v>44028</v>
      </c>
      <c r="C791" s="6" t="inlineStr">
        <is>
          <t>A20</t>
        </is>
      </c>
      <c r="D791" s="6" t="n">
        <v>7</v>
      </c>
      <c r="E791" s="15" t="n">
        <v>87</v>
      </c>
      <c r="F791" s="5" t="inlineStr">
        <is>
          <t>нет</t>
        </is>
      </c>
      <c r="G791" s="7" t="n"/>
      <c r="H791">
        <f>VLOOKUP(C791,Автомобили!$A$2:$G$1000,3,0)</f>
        <v/>
      </c>
      <c r="I791">
        <f>VLOOKUP(D791,Клиенты!$A$2:$D$1000,2,0)</f>
        <v/>
      </c>
      <c r="J791">
        <f>IF(AND(H791="Kaptur",I791="Окраинов Л.Г.",YEAR(B791)=2020),E791,0)</f>
        <v/>
      </c>
    </row>
    <row r="792">
      <c r="A792" s="6" t="n">
        <v>791</v>
      </c>
      <c r="B792" s="13" t="n">
        <v>44028</v>
      </c>
      <c r="C792" s="6" t="inlineStr">
        <is>
          <t>A57</t>
        </is>
      </c>
      <c r="D792" s="6" t="n">
        <v>11</v>
      </c>
      <c r="E792" s="15" t="n">
        <v>425</v>
      </c>
      <c r="F792" s="5" t="inlineStr">
        <is>
          <t>нет</t>
        </is>
      </c>
      <c r="G792" s="7" t="n"/>
      <c r="H792">
        <f>VLOOKUP(C792,Автомобили!$A$2:$G$1000,3,0)</f>
        <v/>
      </c>
      <c r="I792">
        <f>VLOOKUP(D792,Клиенты!$A$2:$D$1000,2,0)</f>
        <v/>
      </c>
      <c r="J792">
        <f>IF(AND(H792="Kaptur",I792="Окраинов Л.Г.",YEAR(B792)=2020),E792,0)</f>
        <v/>
      </c>
    </row>
    <row r="793">
      <c r="A793" s="6" t="n">
        <v>792</v>
      </c>
      <c r="B793" s="13" t="n">
        <v>44028</v>
      </c>
      <c r="C793" s="6" t="inlineStr">
        <is>
          <t>A29</t>
        </is>
      </c>
      <c r="D793" s="6" t="n">
        <v>6</v>
      </c>
      <c r="E793" s="15" t="n">
        <v>426</v>
      </c>
      <c r="F793" s="5" t="inlineStr">
        <is>
          <t>нет</t>
        </is>
      </c>
      <c r="G793" s="7" t="n"/>
      <c r="H793">
        <f>VLOOKUP(C793,Автомобили!$A$2:$G$1000,3,0)</f>
        <v/>
      </c>
      <c r="I793">
        <f>VLOOKUP(D793,Клиенты!$A$2:$D$1000,2,0)</f>
        <v/>
      </c>
      <c r="J793">
        <f>IF(AND(H793="Kaptur",I793="Окраинов Л.Г.",YEAR(B793)=2020),E793,0)</f>
        <v/>
      </c>
    </row>
    <row r="794">
      <c r="A794" s="6" t="n">
        <v>793</v>
      </c>
      <c r="B794" s="13" t="n">
        <v>44029</v>
      </c>
      <c r="C794" s="6" t="inlineStr">
        <is>
          <t>A7</t>
        </is>
      </c>
      <c r="D794" s="6" t="n">
        <v>12</v>
      </c>
      <c r="E794" s="15" t="n">
        <v>249</v>
      </c>
      <c r="F794" s="5" t="inlineStr">
        <is>
          <t>нет</t>
        </is>
      </c>
      <c r="G794" s="7" t="n"/>
      <c r="H794">
        <f>VLOOKUP(C794,Автомобили!$A$2:$G$1000,3,0)</f>
        <v/>
      </c>
      <c r="I794">
        <f>VLOOKUP(D794,Клиенты!$A$2:$D$1000,2,0)</f>
        <v/>
      </c>
      <c r="J794">
        <f>IF(AND(H794="Kaptur",I794="Окраинов Л.Г.",YEAR(B794)=2020),E794,0)</f>
        <v/>
      </c>
    </row>
    <row r="795">
      <c r="A795" s="6" t="n">
        <v>794</v>
      </c>
      <c r="B795" s="13" t="n">
        <v>44029</v>
      </c>
      <c r="C795" s="6" t="inlineStr">
        <is>
          <t>A37</t>
        </is>
      </c>
      <c r="D795" s="6" t="n">
        <v>2</v>
      </c>
      <c r="E795" s="15" t="n">
        <v>227</v>
      </c>
      <c r="F795" s="5" t="inlineStr">
        <is>
          <t>нет</t>
        </is>
      </c>
      <c r="G795" s="7" t="n"/>
      <c r="H795">
        <f>VLOOKUP(C795,Автомобили!$A$2:$G$1000,3,0)</f>
        <v/>
      </c>
      <c r="I795">
        <f>VLOOKUP(D795,Клиенты!$A$2:$D$1000,2,0)</f>
        <v/>
      </c>
      <c r="J795">
        <f>IF(AND(H795="Kaptur",I795="Окраинов Л.Г.",YEAR(B795)=2020),E795,0)</f>
        <v/>
      </c>
    </row>
    <row r="796">
      <c r="A796" s="6" t="n">
        <v>795</v>
      </c>
      <c r="B796" s="13" t="n">
        <v>44029</v>
      </c>
      <c r="C796" s="6" t="inlineStr">
        <is>
          <t>A10</t>
        </is>
      </c>
      <c r="D796" s="6" t="n">
        <v>1</v>
      </c>
      <c r="E796" s="15" t="n">
        <v>241</v>
      </c>
      <c r="F796" s="5" t="inlineStr">
        <is>
          <t>нет</t>
        </is>
      </c>
      <c r="G796" s="7" t="n"/>
      <c r="H796">
        <f>VLOOKUP(C796,Автомобили!$A$2:$G$1000,3,0)</f>
        <v/>
      </c>
      <c r="I796">
        <f>VLOOKUP(D796,Клиенты!$A$2:$D$1000,2,0)</f>
        <v/>
      </c>
      <c r="J796">
        <f>IF(AND(H796="Kaptur",I796="Окраинов Л.Г.",YEAR(B796)=2020),E796,0)</f>
        <v/>
      </c>
    </row>
    <row r="797">
      <c r="A797" s="6" t="n">
        <v>796</v>
      </c>
      <c r="B797" s="13" t="n">
        <v>44029</v>
      </c>
      <c r="C797" s="6" t="inlineStr">
        <is>
          <t>A53</t>
        </is>
      </c>
      <c r="D797" s="6" t="n">
        <v>1</v>
      </c>
      <c r="E797" s="15" t="n">
        <v>278</v>
      </c>
      <c r="F797" s="5" t="inlineStr">
        <is>
          <t>нет</t>
        </is>
      </c>
      <c r="G797" s="7" t="n"/>
      <c r="H797">
        <f>VLOOKUP(C797,Автомобили!$A$2:$G$1000,3,0)</f>
        <v/>
      </c>
      <c r="I797">
        <f>VLOOKUP(D797,Клиенты!$A$2:$D$1000,2,0)</f>
        <v/>
      </c>
      <c r="J797">
        <f>IF(AND(H797="Kaptur",I797="Окраинов Л.Г.",YEAR(B797)=2020),E797,0)</f>
        <v/>
      </c>
    </row>
    <row r="798">
      <c r="A798" s="6" t="n">
        <v>797</v>
      </c>
      <c r="B798" s="13" t="n">
        <v>44030</v>
      </c>
      <c r="C798" s="6" t="inlineStr">
        <is>
          <t>A23</t>
        </is>
      </c>
      <c r="D798" s="6" t="n">
        <v>6</v>
      </c>
      <c r="E798" s="15" t="n">
        <v>338</v>
      </c>
      <c r="F798" s="5" t="inlineStr">
        <is>
          <t>нет</t>
        </is>
      </c>
      <c r="G798" s="7" t="n"/>
      <c r="H798">
        <f>VLOOKUP(C798,Автомобили!$A$2:$G$1000,3,0)</f>
        <v/>
      </c>
      <c r="I798">
        <f>VLOOKUP(D798,Клиенты!$A$2:$D$1000,2,0)</f>
        <v/>
      </c>
      <c r="J798">
        <f>IF(AND(H798="Kaptur",I798="Окраинов Л.Г.",YEAR(B798)=2020),E798,0)</f>
        <v/>
      </c>
    </row>
    <row r="799">
      <c r="A799" s="6" t="n">
        <v>798</v>
      </c>
      <c r="B799" s="13" t="n">
        <v>44030</v>
      </c>
      <c r="C799" s="6" t="inlineStr">
        <is>
          <t>A38</t>
        </is>
      </c>
      <c r="D799" s="6" t="n">
        <v>2</v>
      </c>
      <c r="E799" s="15" t="n">
        <v>350</v>
      </c>
      <c r="F799" s="5" t="inlineStr">
        <is>
          <t>нет</t>
        </is>
      </c>
      <c r="G799" s="7" t="n"/>
      <c r="H799">
        <f>VLOOKUP(C799,Автомобили!$A$2:$G$1000,3,0)</f>
        <v/>
      </c>
      <c r="I799">
        <f>VLOOKUP(D799,Клиенты!$A$2:$D$1000,2,0)</f>
        <v/>
      </c>
      <c r="J799">
        <f>IF(AND(H799="Kaptur",I799="Окраинов Л.Г.",YEAR(B799)=2020),E799,0)</f>
        <v/>
      </c>
    </row>
    <row r="800">
      <c r="A800" s="6" t="n">
        <v>799</v>
      </c>
      <c r="B800" s="13" t="n">
        <v>44030</v>
      </c>
      <c r="C800" s="6" t="inlineStr">
        <is>
          <t>A53</t>
        </is>
      </c>
      <c r="D800" s="6" t="n">
        <v>2</v>
      </c>
      <c r="E800" s="15" t="n">
        <v>346</v>
      </c>
      <c r="F800" s="5" t="inlineStr">
        <is>
          <t>нет</t>
        </is>
      </c>
      <c r="G800" s="7" t="n"/>
      <c r="H800">
        <f>VLOOKUP(C800,Автомобили!$A$2:$G$1000,3,0)</f>
        <v/>
      </c>
      <c r="I800">
        <f>VLOOKUP(D800,Клиенты!$A$2:$D$1000,2,0)</f>
        <v/>
      </c>
      <c r="J800">
        <f>IF(AND(H800="Kaptur",I800="Окраинов Л.Г.",YEAR(B800)=2020),E800,0)</f>
        <v/>
      </c>
    </row>
    <row r="801">
      <c r="A801" s="6" t="n">
        <v>800</v>
      </c>
      <c r="B801" s="13" t="n">
        <v>44030</v>
      </c>
      <c r="C801" s="6" t="inlineStr">
        <is>
          <t>A4</t>
        </is>
      </c>
      <c r="D801" s="6" t="n">
        <v>3</v>
      </c>
      <c r="E801" s="15" t="n">
        <v>85</v>
      </c>
      <c r="F801" s="5" t="inlineStr">
        <is>
          <t>нет</t>
        </is>
      </c>
      <c r="G801" s="7" t="n"/>
      <c r="H801">
        <f>VLOOKUP(C801,Автомобили!$A$2:$G$1000,3,0)</f>
        <v/>
      </c>
      <c r="I801">
        <f>VLOOKUP(D801,Клиенты!$A$2:$D$1000,2,0)</f>
        <v/>
      </c>
      <c r="J801">
        <f>IF(AND(H801="Kaptur",I801="Окраинов Л.Г.",YEAR(B801)=2020),E801,0)</f>
        <v/>
      </c>
    </row>
    <row r="802">
      <c r="A802" s="6" t="n">
        <v>801</v>
      </c>
      <c r="B802" s="13" t="n">
        <v>44031</v>
      </c>
      <c r="C802" s="6" t="inlineStr">
        <is>
          <t>A27</t>
        </is>
      </c>
      <c r="D802" s="6" t="n">
        <v>1</v>
      </c>
      <c r="E802" s="15" t="n">
        <v>364</v>
      </c>
      <c r="F802" s="5" t="inlineStr">
        <is>
          <t>нет</t>
        </is>
      </c>
      <c r="G802" s="7" t="n"/>
      <c r="H802">
        <f>VLOOKUP(C802,Автомобили!$A$2:$G$1000,3,0)</f>
        <v/>
      </c>
      <c r="I802">
        <f>VLOOKUP(D802,Клиенты!$A$2:$D$1000,2,0)</f>
        <v/>
      </c>
      <c r="J802">
        <f>IF(AND(H802="Kaptur",I802="Окраинов Л.Г.",YEAR(B802)=2020),E802,0)</f>
        <v/>
      </c>
    </row>
    <row r="803">
      <c r="A803" s="6" t="n">
        <v>802</v>
      </c>
      <c r="B803" s="13" t="n">
        <v>44031</v>
      </c>
      <c r="C803" s="6" t="inlineStr">
        <is>
          <t>A45</t>
        </is>
      </c>
      <c r="D803" s="6" t="n">
        <v>15</v>
      </c>
      <c r="E803" s="15" t="n">
        <v>280</v>
      </c>
      <c r="F803" s="5" t="inlineStr">
        <is>
          <t>нет</t>
        </is>
      </c>
      <c r="G803" s="7" t="n"/>
      <c r="H803">
        <f>VLOOKUP(C803,Автомобили!$A$2:$G$1000,3,0)</f>
        <v/>
      </c>
      <c r="I803">
        <f>VLOOKUP(D803,Клиенты!$A$2:$D$1000,2,0)</f>
        <v/>
      </c>
      <c r="J803">
        <f>IF(AND(H803="Kaptur",I803="Окраинов Л.Г.",YEAR(B803)=2020),E803,0)</f>
        <v/>
      </c>
    </row>
    <row r="804">
      <c r="A804" s="6" t="n">
        <v>803</v>
      </c>
      <c r="B804" s="13" t="n">
        <v>44031</v>
      </c>
      <c r="C804" s="6" t="inlineStr">
        <is>
          <t>A4</t>
        </is>
      </c>
      <c r="D804" s="6" t="n">
        <v>10</v>
      </c>
      <c r="E804" s="15" t="n">
        <v>394</v>
      </c>
      <c r="F804" s="5" t="inlineStr">
        <is>
          <t>нет</t>
        </is>
      </c>
      <c r="G804" s="7" t="n"/>
      <c r="H804">
        <f>VLOOKUP(C804,Автомобили!$A$2:$G$1000,3,0)</f>
        <v/>
      </c>
      <c r="I804">
        <f>VLOOKUP(D804,Клиенты!$A$2:$D$1000,2,0)</f>
        <v/>
      </c>
      <c r="J804">
        <f>IF(AND(H804="Kaptur",I804="Окраинов Л.Г.",YEAR(B804)=2020),E804,0)</f>
        <v/>
      </c>
    </row>
    <row r="805">
      <c r="A805" s="6" t="n">
        <v>804</v>
      </c>
      <c r="B805" s="13" t="n">
        <v>44031</v>
      </c>
      <c r="C805" s="6" t="inlineStr">
        <is>
          <t>A30</t>
        </is>
      </c>
      <c r="D805" s="6" t="n">
        <v>10</v>
      </c>
      <c r="E805" s="15" t="n">
        <v>196</v>
      </c>
      <c r="F805" s="5" t="inlineStr">
        <is>
          <t>нет</t>
        </is>
      </c>
      <c r="G805" s="7" t="n"/>
      <c r="H805">
        <f>VLOOKUP(C805,Автомобили!$A$2:$G$1000,3,0)</f>
        <v/>
      </c>
      <c r="I805">
        <f>VLOOKUP(D805,Клиенты!$A$2:$D$1000,2,0)</f>
        <v/>
      </c>
      <c r="J805">
        <f>IF(AND(H805="Kaptur",I805="Окраинов Л.Г.",YEAR(B805)=2020),E805,0)</f>
        <v/>
      </c>
    </row>
    <row r="806">
      <c r="A806" s="6" t="n">
        <v>805</v>
      </c>
      <c r="B806" s="13" t="n">
        <v>44032</v>
      </c>
      <c r="C806" s="6" t="inlineStr">
        <is>
          <t>A12</t>
        </is>
      </c>
      <c r="D806" s="6" t="n">
        <v>8</v>
      </c>
      <c r="E806" s="15" t="n">
        <v>124</v>
      </c>
      <c r="F806" s="5" t="inlineStr">
        <is>
          <t>нет</t>
        </is>
      </c>
      <c r="G806" s="7" t="n"/>
      <c r="H806">
        <f>VLOOKUP(C806,Автомобили!$A$2:$G$1000,3,0)</f>
        <v/>
      </c>
      <c r="I806">
        <f>VLOOKUP(D806,Клиенты!$A$2:$D$1000,2,0)</f>
        <v/>
      </c>
      <c r="J806">
        <f>IF(AND(H806="Kaptur",I806="Окраинов Л.Г.",YEAR(B806)=2020),E806,0)</f>
        <v/>
      </c>
    </row>
    <row r="807">
      <c r="A807" s="6" t="n">
        <v>806</v>
      </c>
      <c r="B807" s="13" t="n">
        <v>44032</v>
      </c>
      <c r="C807" s="6" t="inlineStr">
        <is>
          <t>A20</t>
        </is>
      </c>
      <c r="D807" s="6" t="n">
        <v>15</v>
      </c>
      <c r="E807" s="15" t="n">
        <v>221</v>
      </c>
      <c r="F807" s="5" t="inlineStr">
        <is>
          <t>нет</t>
        </is>
      </c>
      <c r="G807" s="7" t="n"/>
      <c r="H807">
        <f>VLOOKUP(C807,Автомобили!$A$2:$G$1000,3,0)</f>
        <v/>
      </c>
      <c r="I807">
        <f>VLOOKUP(D807,Клиенты!$A$2:$D$1000,2,0)</f>
        <v/>
      </c>
      <c r="J807">
        <f>IF(AND(H807="Kaptur",I807="Окраинов Л.Г.",YEAR(B807)=2020),E807,0)</f>
        <v/>
      </c>
    </row>
    <row r="808">
      <c r="A808" s="6" t="n">
        <v>807</v>
      </c>
      <c r="B808" s="13" t="n">
        <v>44032</v>
      </c>
      <c r="C808" s="6" t="inlineStr">
        <is>
          <t>A46</t>
        </is>
      </c>
      <c r="D808" s="6" t="n">
        <v>11</v>
      </c>
      <c r="E808" s="15" t="n">
        <v>257</v>
      </c>
      <c r="F808" s="5" t="inlineStr">
        <is>
          <t>нет</t>
        </is>
      </c>
      <c r="G808" s="7" t="n"/>
      <c r="H808">
        <f>VLOOKUP(C808,Автомобили!$A$2:$G$1000,3,0)</f>
        <v/>
      </c>
      <c r="I808">
        <f>VLOOKUP(D808,Клиенты!$A$2:$D$1000,2,0)</f>
        <v/>
      </c>
      <c r="J808">
        <f>IF(AND(H808="Kaptur",I808="Окраинов Л.Г.",YEAR(B808)=2020),E808,0)</f>
        <v/>
      </c>
    </row>
    <row r="809">
      <c r="A809" s="6" t="n">
        <v>808</v>
      </c>
      <c r="B809" s="13" t="n">
        <v>44032</v>
      </c>
      <c r="C809" s="6" t="inlineStr">
        <is>
          <t>A4</t>
        </is>
      </c>
      <c r="D809" s="6" t="n">
        <v>7</v>
      </c>
      <c r="E809" s="15" t="n">
        <v>205</v>
      </c>
      <c r="F809" s="5" t="inlineStr">
        <is>
          <t>нет</t>
        </is>
      </c>
      <c r="G809" s="7" t="n"/>
      <c r="H809">
        <f>VLOOKUP(C809,Автомобили!$A$2:$G$1000,3,0)</f>
        <v/>
      </c>
      <c r="I809">
        <f>VLOOKUP(D809,Клиенты!$A$2:$D$1000,2,0)</f>
        <v/>
      </c>
      <c r="J809">
        <f>IF(AND(H809="Kaptur",I809="Окраинов Л.Г.",YEAR(B809)=2020),E809,0)</f>
        <v/>
      </c>
    </row>
    <row r="810">
      <c r="A810" s="6" t="n">
        <v>809</v>
      </c>
      <c r="B810" s="13" t="n">
        <v>44033</v>
      </c>
      <c r="C810" s="6" t="inlineStr">
        <is>
          <t>A2</t>
        </is>
      </c>
      <c r="D810" s="6" t="n">
        <v>13</v>
      </c>
      <c r="E810" s="15" t="n">
        <v>399</v>
      </c>
      <c r="F810" s="5" t="inlineStr">
        <is>
          <t>нет</t>
        </is>
      </c>
      <c r="G810" s="7" t="n"/>
      <c r="H810">
        <f>VLOOKUP(C810,Автомобили!$A$2:$G$1000,3,0)</f>
        <v/>
      </c>
      <c r="I810">
        <f>VLOOKUP(D810,Клиенты!$A$2:$D$1000,2,0)</f>
        <v/>
      </c>
      <c r="J810">
        <f>IF(AND(H810="Kaptur",I810="Окраинов Л.Г.",YEAR(B810)=2020),E810,0)</f>
        <v/>
      </c>
    </row>
    <row r="811">
      <c r="A811" s="6" t="n">
        <v>810</v>
      </c>
      <c r="B811" s="13" t="n">
        <v>44033</v>
      </c>
      <c r="C811" s="6" t="inlineStr">
        <is>
          <t>A16</t>
        </is>
      </c>
      <c r="D811" s="6" t="n">
        <v>2</v>
      </c>
      <c r="E811" s="15" t="n">
        <v>245</v>
      </c>
      <c r="F811" s="5" t="inlineStr">
        <is>
          <t>нет</t>
        </is>
      </c>
      <c r="G811" s="7" t="n"/>
      <c r="H811">
        <f>VLOOKUP(C811,Автомобили!$A$2:$G$1000,3,0)</f>
        <v/>
      </c>
      <c r="I811">
        <f>VLOOKUP(D811,Клиенты!$A$2:$D$1000,2,0)</f>
        <v/>
      </c>
      <c r="J811">
        <f>IF(AND(H811="Kaptur",I811="Окраинов Л.Г.",YEAR(B811)=2020),E811,0)</f>
        <v/>
      </c>
    </row>
    <row r="812">
      <c r="A812" s="6" t="n">
        <v>811</v>
      </c>
      <c r="B812" s="13" t="n">
        <v>44033</v>
      </c>
      <c r="C812" s="6" t="inlineStr">
        <is>
          <t>A19</t>
        </is>
      </c>
      <c r="D812" s="6" t="n">
        <v>10</v>
      </c>
      <c r="E812" s="15" t="n">
        <v>404</v>
      </c>
      <c r="F812" s="5" t="inlineStr">
        <is>
          <t>нет</t>
        </is>
      </c>
      <c r="G812" s="7" t="n"/>
      <c r="H812">
        <f>VLOOKUP(C812,Автомобили!$A$2:$G$1000,3,0)</f>
        <v/>
      </c>
      <c r="I812">
        <f>VLOOKUP(D812,Клиенты!$A$2:$D$1000,2,0)</f>
        <v/>
      </c>
      <c r="J812">
        <f>IF(AND(H812="Kaptur",I812="Окраинов Л.Г.",YEAR(B812)=2020),E812,0)</f>
        <v/>
      </c>
    </row>
    <row r="813">
      <c r="A813" s="6" t="n">
        <v>812</v>
      </c>
      <c r="B813" s="13" t="n">
        <v>44033</v>
      </c>
      <c r="C813" s="6" t="inlineStr">
        <is>
          <t>A11</t>
        </is>
      </c>
      <c r="D813" s="6" t="n">
        <v>8</v>
      </c>
      <c r="E813" s="15" t="n">
        <v>174</v>
      </c>
      <c r="F813" s="5" t="inlineStr">
        <is>
          <t>нет</t>
        </is>
      </c>
      <c r="G813" s="7" t="n"/>
      <c r="H813">
        <f>VLOOKUP(C813,Автомобили!$A$2:$G$1000,3,0)</f>
        <v/>
      </c>
      <c r="I813">
        <f>VLOOKUP(D813,Клиенты!$A$2:$D$1000,2,0)</f>
        <v/>
      </c>
      <c r="J813">
        <f>IF(AND(H813="Kaptur",I813="Окраинов Л.Г.",YEAR(B813)=2020),E813,0)</f>
        <v/>
      </c>
    </row>
    <row r="814">
      <c r="A814" s="6" t="n">
        <v>813</v>
      </c>
      <c r="B814" s="13" t="n">
        <v>44034</v>
      </c>
      <c r="C814" s="6" t="inlineStr">
        <is>
          <t>A47</t>
        </is>
      </c>
      <c r="D814" s="6" t="n">
        <v>10</v>
      </c>
      <c r="E814" s="15" t="n">
        <v>214</v>
      </c>
      <c r="F814" s="5" t="inlineStr">
        <is>
          <t>нет</t>
        </is>
      </c>
      <c r="G814" s="7" t="n"/>
      <c r="H814">
        <f>VLOOKUP(C814,Автомобили!$A$2:$G$1000,3,0)</f>
        <v/>
      </c>
      <c r="I814">
        <f>VLOOKUP(D814,Клиенты!$A$2:$D$1000,2,0)</f>
        <v/>
      </c>
      <c r="J814">
        <f>IF(AND(H814="Kaptur",I814="Окраинов Л.Г.",YEAR(B814)=2020),E814,0)</f>
        <v/>
      </c>
    </row>
    <row r="815">
      <c r="A815" s="6" t="n">
        <v>814</v>
      </c>
      <c r="B815" s="13" t="n">
        <v>44034</v>
      </c>
      <c r="C815" s="6" t="inlineStr">
        <is>
          <t>A60</t>
        </is>
      </c>
      <c r="D815" s="6" t="n">
        <v>4</v>
      </c>
      <c r="E815" s="15" t="n">
        <v>289</v>
      </c>
      <c r="F815" s="5" t="inlineStr">
        <is>
          <t>нет</t>
        </is>
      </c>
      <c r="G815" s="7" t="n"/>
      <c r="H815">
        <f>VLOOKUP(C815,Автомобили!$A$2:$G$1000,3,0)</f>
        <v/>
      </c>
      <c r="I815">
        <f>VLOOKUP(D815,Клиенты!$A$2:$D$1000,2,0)</f>
        <v/>
      </c>
      <c r="J815">
        <f>IF(AND(H815="Kaptur",I815="Окраинов Л.Г.",YEAR(B815)=2020),E815,0)</f>
        <v/>
      </c>
    </row>
    <row r="816">
      <c r="A816" s="6" t="n">
        <v>815</v>
      </c>
      <c r="B816" s="13" t="n">
        <v>44034</v>
      </c>
      <c r="C816" s="6" t="inlineStr">
        <is>
          <t>A20</t>
        </is>
      </c>
      <c r="D816" s="6" t="n">
        <v>5</v>
      </c>
      <c r="E816" s="15" t="n">
        <v>87</v>
      </c>
      <c r="F816" s="5" t="inlineStr">
        <is>
          <t>нет</t>
        </is>
      </c>
      <c r="G816" s="7" t="n"/>
      <c r="H816">
        <f>VLOOKUP(C816,Автомобили!$A$2:$G$1000,3,0)</f>
        <v/>
      </c>
      <c r="I816">
        <f>VLOOKUP(D816,Клиенты!$A$2:$D$1000,2,0)</f>
        <v/>
      </c>
      <c r="J816">
        <f>IF(AND(H816="Kaptur",I816="Окраинов Л.Г.",YEAR(B816)=2020),E816,0)</f>
        <v/>
      </c>
    </row>
    <row r="817">
      <c r="A817" s="6" t="n">
        <v>816</v>
      </c>
      <c r="B817" s="13" t="n">
        <v>44034</v>
      </c>
      <c r="C817" s="6" t="inlineStr">
        <is>
          <t>A41</t>
        </is>
      </c>
      <c r="D817" s="6" t="n">
        <v>12</v>
      </c>
      <c r="E817" s="15" t="n">
        <v>390</v>
      </c>
      <c r="F817" s="5" t="inlineStr">
        <is>
          <t>нет</t>
        </is>
      </c>
      <c r="G817" s="7" t="n"/>
      <c r="H817">
        <f>VLOOKUP(C817,Автомобили!$A$2:$G$1000,3,0)</f>
        <v/>
      </c>
      <c r="I817">
        <f>VLOOKUP(D817,Клиенты!$A$2:$D$1000,2,0)</f>
        <v/>
      </c>
      <c r="J817">
        <f>IF(AND(H817="Kaptur",I817="Окраинов Л.Г.",YEAR(B817)=2020),E817,0)</f>
        <v/>
      </c>
    </row>
    <row r="818">
      <c r="A818" s="6" t="n">
        <v>817</v>
      </c>
      <c r="B818" s="13" t="n">
        <v>44035</v>
      </c>
      <c r="C818" s="6" t="inlineStr">
        <is>
          <t>A9</t>
        </is>
      </c>
      <c r="D818" s="6" t="n">
        <v>2</v>
      </c>
      <c r="E818" s="15" t="n">
        <v>269</v>
      </c>
      <c r="F818" s="5" t="inlineStr">
        <is>
          <t>нет</t>
        </is>
      </c>
      <c r="G818" s="7" t="n"/>
      <c r="H818">
        <f>VLOOKUP(C818,Автомобили!$A$2:$G$1000,3,0)</f>
        <v/>
      </c>
      <c r="I818">
        <f>VLOOKUP(D818,Клиенты!$A$2:$D$1000,2,0)</f>
        <v/>
      </c>
      <c r="J818">
        <f>IF(AND(H818="Kaptur",I818="Окраинов Л.Г.",YEAR(B818)=2020),E818,0)</f>
        <v/>
      </c>
    </row>
    <row r="819">
      <c r="A819" s="6" t="n">
        <v>818</v>
      </c>
      <c r="B819" s="13" t="n">
        <v>44035</v>
      </c>
      <c r="C819" s="6" t="inlineStr">
        <is>
          <t>A65</t>
        </is>
      </c>
      <c r="D819" s="6" t="n">
        <v>2</v>
      </c>
      <c r="E819" s="15" t="n">
        <v>129</v>
      </c>
      <c r="F819" s="5" t="inlineStr">
        <is>
          <t>нет</t>
        </is>
      </c>
      <c r="G819" s="7" t="n"/>
      <c r="H819">
        <f>VLOOKUP(C819,Автомобили!$A$2:$G$1000,3,0)</f>
        <v/>
      </c>
      <c r="I819">
        <f>VLOOKUP(D819,Клиенты!$A$2:$D$1000,2,0)</f>
        <v/>
      </c>
      <c r="J819">
        <f>IF(AND(H819="Kaptur",I819="Окраинов Л.Г.",YEAR(B819)=2020),E819,0)</f>
        <v/>
      </c>
    </row>
    <row r="820">
      <c r="A820" s="6" t="n">
        <v>819</v>
      </c>
      <c r="B820" s="13" t="n">
        <v>44035</v>
      </c>
      <c r="C820" s="6" t="inlineStr">
        <is>
          <t>A23</t>
        </is>
      </c>
      <c r="D820" s="6" t="n">
        <v>6</v>
      </c>
      <c r="E820" s="15" t="n">
        <v>102</v>
      </c>
      <c r="F820" s="5" t="inlineStr">
        <is>
          <t>нет</t>
        </is>
      </c>
      <c r="G820" s="7" t="n"/>
      <c r="H820">
        <f>VLOOKUP(C820,Автомобили!$A$2:$G$1000,3,0)</f>
        <v/>
      </c>
      <c r="I820">
        <f>VLOOKUP(D820,Клиенты!$A$2:$D$1000,2,0)</f>
        <v/>
      </c>
      <c r="J820">
        <f>IF(AND(H820="Kaptur",I820="Окраинов Л.Г.",YEAR(B820)=2020),E820,0)</f>
        <v/>
      </c>
    </row>
    <row r="821">
      <c r="A821" s="6" t="n">
        <v>820</v>
      </c>
      <c r="B821" s="13" t="n">
        <v>44035</v>
      </c>
      <c r="C821" s="6" t="inlineStr">
        <is>
          <t>A50</t>
        </is>
      </c>
      <c r="D821" s="6" t="n">
        <v>6</v>
      </c>
      <c r="E821" s="15" t="n">
        <v>94</v>
      </c>
      <c r="F821" s="5" t="inlineStr">
        <is>
          <t>нет</t>
        </is>
      </c>
      <c r="G821" s="7" t="n"/>
      <c r="H821">
        <f>VLOOKUP(C821,Автомобили!$A$2:$G$1000,3,0)</f>
        <v/>
      </c>
      <c r="I821">
        <f>VLOOKUP(D821,Клиенты!$A$2:$D$1000,2,0)</f>
        <v/>
      </c>
      <c r="J821">
        <f>IF(AND(H821="Kaptur",I821="Окраинов Л.Г.",YEAR(B821)=2020),E821,0)</f>
        <v/>
      </c>
    </row>
    <row r="822">
      <c r="A822" s="6" t="n">
        <v>821</v>
      </c>
      <c r="B822" s="13" t="n">
        <v>44036</v>
      </c>
      <c r="C822" s="6" t="inlineStr">
        <is>
          <t>A44</t>
        </is>
      </c>
      <c r="D822" s="6" t="n">
        <v>14</v>
      </c>
      <c r="E822" s="15" t="n">
        <v>399</v>
      </c>
      <c r="F822" s="5" t="inlineStr">
        <is>
          <t>нет</t>
        </is>
      </c>
      <c r="G822" s="7" t="n"/>
      <c r="H822">
        <f>VLOOKUP(C822,Автомобили!$A$2:$G$1000,3,0)</f>
        <v/>
      </c>
      <c r="I822">
        <f>VLOOKUP(D822,Клиенты!$A$2:$D$1000,2,0)</f>
        <v/>
      </c>
      <c r="J822">
        <f>IF(AND(H822="Kaptur",I822="Окраинов Л.Г.",YEAR(B822)=2020),E822,0)</f>
        <v/>
      </c>
    </row>
    <row r="823">
      <c r="A823" s="6" t="n">
        <v>822</v>
      </c>
      <c r="B823" s="13" t="n">
        <v>44036</v>
      </c>
      <c r="C823" s="6" t="inlineStr">
        <is>
          <t>A5</t>
        </is>
      </c>
      <c r="D823" s="6" t="n">
        <v>10</v>
      </c>
      <c r="E823" s="15" t="n">
        <v>422</v>
      </c>
      <c r="F823" s="5" t="inlineStr">
        <is>
          <t>нет</t>
        </is>
      </c>
      <c r="G823" s="7" t="n"/>
      <c r="H823">
        <f>VLOOKUP(C823,Автомобили!$A$2:$G$1000,3,0)</f>
        <v/>
      </c>
      <c r="I823">
        <f>VLOOKUP(D823,Клиенты!$A$2:$D$1000,2,0)</f>
        <v/>
      </c>
      <c r="J823">
        <f>IF(AND(H823="Kaptur",I823="Окраинов Л.Г.",YEAR(B823)=2020),E823,0)</f>
        <v/>
      </c>
    </row>
    <row r="824">
      <c r="A824" s="6" t="n">
        <v>823</v>
      </c>
      <c r="B824" s="13" t="n">
        <v>44036</v>
      </c>
      <c r="C824" s="6" t="inlineStr">
        <is>
          <t>A47</t>
        </is>
      </c>
      <c r="D824" s="6" t="n">
        <v>2</v>
      </c>
      <c r="E824" s="15" t="n">
        <v>141</v>
      </c>
      <c r="F824" s="5" t="inlineStr">
        <is>
          <t>нет</t>
        </is>
      </c>
      <c r="G824" s="7" t="n"/>
      <c r="H824">
        <f>VLOOKUP(C824,Автомобили!$A$2:$G$1000,3,0)</f>
        <v/>
      </c>
      <c r="I824">
        <f>VLOOKUP(D824,Клиенты!$A$2:$D$1000,2,0)</f>
        <v/>
      </c>
      <c r="J824">
        <f>IF(AND(H824="Kaptur",I824="Окраинов Л.Г.",YEAR(B824)=2020),E824,0)</f>
        <v/>
      </c>
    </row>
    <row r="825">
      <c r="A825" s="6" t="n">
        <v>824</v>
      </c>
      <c r="B825" s="13" t="n">
        <v>44036</v>
      </c>
      <c r="C825" s="6" t="inlineStr">
        <is>
          <t>A33</t>
        </is>
      </c>
      <c r="D825" s="6" t="n">
        <v>11</v>
      </c>
      <c r="E825" s="15" t="n">
        <v>432</v>
      </c>
      <c r="F825" s="5" t="inlineStr">
        <is>
          <t>нет</t>
        </is>
      </c>
      <c r="G825" s="7" t="n"/>
      <c r="H825">
        <f>VLOOKUP(C825,Автомобили!$A$2:$G$1000,3,0)</f>
        <v/>
      </c>
      <c r="I825">
        <f>VLOOKUP(D825,Клиенты!$A$2:$D$1000,2,0)</f>
        <v/>
      </c>
      <c r="J825">
        <f>IF(AND(H825="Kaptur",I825="Окраинов Л.Г.",YEAR(B825)=2020),E825,0)</f>
        <v/>
      </c>
    </row>
    <row r="826">
      <c r="A826" s="6" t="n">
        <v>825</v>
      </c>
      <c r="B826" s="13" t="n">
        <v>44037</v>
      </c>
      <c r="C826" s="6" t="inlineStr">
        <is>
          <t>A16</t>
        </is>
      </c>
      <c r="D826" s="6" t="n">
        <v>3</v>
      </c>
      <c r="E826" s="15" t="n">
        <v>264</v>
      </c>
      <c r="F826" s="5" t="inlineStr">
        <is>
          <t>нет</t>
        </is>
      </c>
      <c r="G826" s="7" t="n"/>
      <c r="H826">
        <f>VLOOKUP(C826,Автомобили!$A$2:$G$1000,3,0)</f>
        <v/>
      </c>
      <c r="I826">
        <f>VLOOKUP(D826,Клиенты!$A$2:$D$1000,2,0)</f>
        <v/>
      </c>
      <c r="J826">
        <f>IF(AND(H826="Kaptur",I826="Окраинов Л.Г.",YEAR(B826)=2020),E826,0)</f>
        <v/>
      </c>
    </row>
    <row r="827">
      <c r="A827" s="6" t="n">
        <v>826</v>
      </c>
      <c r="B827" s="13" t="n">
        <v>44037</v>
      </c>
      <c r="C827" s="6" t="inlineStr">
        <is>
          <t>A7</t>
        </is>
      </c>
      <c r="D827" s="6" t="n">
        <v>13</v>
      </c>
      <c r="E827" s="15" t="n">
        <v>402</v>
      </c>
      <c r="F827" s="5" t="inlineStr">
        <is>
          <t>нет</t>
        </is>
      </c>
      <c r="G827" s="7" t="n"/>
      <c r="H827">
        <f>VLOOKUP(C827,Автомобили!$A$2:$G$1000,3,0)</f>
        <v/>
      </c>
      <c r="I827">
        <f>VLOOKUP(D827,Клиенты!$A$2:$D$1000,2,0)</f>
        <v/>
      </c>
      <c r="J827">
        <f>IF(AND(H827="Kaptur",I827="Окраинов Л.Г.",YEAR(B827)=2020),E827,0)</f>
        <v/>
      </c>
    </row>
    <row r="828">
      <c r="A828" s="6" t="n">
        <v>827</v>
      </c>
      <c r="B828" s="13" t="n">
        <v>44037</v>
      </c>
      <c r="C828" s="6" t="inlineStr">
        <is>
          <t>A24</t>
        </is>
      </c>
      <c r="D828" s="6" t="n">
        <v>5</v>
      </c>
      <c r="E828" s="15" t="n">
        <v>252</v>
      </c>
      <c r="F828" s="5" t="inlineStr">
        <is>
          <t>нет</t>
        </is>
      </c>
      <c r="G828" s="7" t="n"/>
      <c r="H828">
        <f>VLOOKUP(C828,Автомобили!$A$2:$G$1000,3,0)</f>
        <v/>
      </c>
      <c r="I828">
        <f>VLOOKUP(D828,Клиенты!$A$2:$D$1000,2,0)</f>
        <v/>
      </c>
      <c r="J828">
        <f>IF(AND(H828="Kaptur",I828="Окраинов Л.Г.",YEAR(B828)=2020),E828,0)</f>
        <v/>
      </c>
    </row>
    <row r="829">
      <c r="A829" s="6" t="n">
        <v>828</v>
      </c>
      <c r="B829" s="13" t="n">
        <v>44037</v>
      </c>
      <c r="C829" s="6" t="inlineStr">
        <is>
          <t>A8</t>
        </is>
      </c>
      <c r="D829" s="6" t="n">
        <v>10</v>
      </c>
      <c r="E829" s="15" t="n">
        <v>233</v>
      </c>
      <c r="F829" s="5" t="inlineStr">
        <is>
          <t>нет</t>
        </is>
      </c>
      <c r="G829" s="7" t="n"/>
      <c r="H829">
        <f>VLOOKUP(C829,Автомобили!$A$2:$G$1000,3,0)</f>
        <v/>
      </c>
      <c r="I829">
        <f>VLOOKUP(D829,Клиенты!$A$2:$D$1000,2,0)</f>
        <v/>
      </c>
      <c r="J829">
        <f>IF(AND(H829="Kaptur",I829="Окраинов Л.Г.",YEAR(B829)=2020),E829,0)</f>
        <v/>
      </c>
    </row>
    <row r="830">
      <c r="A830" s="6" t="n">
        <v>829</v>
      </c>
      <c r="B830" s="13" t="n">
        <v>44038</v>
      </c>
      <c r="C830" s="6" t="inlineStr">
        <is>
          <t>A45</t>
        </is>
      </c>
      <c r="D830" s="6" t="n">
        <v>9</v>
      </c>
      <c r="E830" s="15" t="n">
        <v>109</v>
      </c>
      <c r="F830" s="5" t="inlineStr">
        <is>
          <t>нет</t>
        </is>
      </c>
      <c r="G830" s="7" t="n"/>
      <c r="H830">
        <f>VLOOKUP(C830,Автомобили!$A$2:$G$1000,3,0)</f>
        <v/>
      </c>
      <c r="I830">
        <f>VLOOKUP(D830,Клиенты!$A$2:$D$1000,2,0)</f>
        <v/>
      </c>
      <c r="J830">
        <f>IF(AND(H830="Kaptur",I830="Окраинов Л.Г.",YEAR(B830)=2020),E830,0)</f>
        <v/>
      </c>
    </row>
    <row r="831">
      <c r="A831" s="6" t="n">
        <v>830</v>
      </c>
      <c r="B831" s="13" t="n">
        <v>44038</v>
      </c>
      <c r="C831" s="6" t="inlineStr">
        <is>
          <t>A29</t>
        </is>
      </c>
      <c r="D831" s="6" t="n">
        <v>8</v>
      </c>
      <c r="E831" s="15" t="n">
        <v>293</v>
      </c>
      <c r="F831" s="5" t="inlineStr">
        <is>
          <t>нет</t>
        </is>
      </c>
      <c r="G831" s="7" t="n"/>
      <c r="H831">
        <f>VLOOKUP(C831,Автомобили!$A$2:$G$1000,3,0)</f>
        <v/>
      </c>
      <c r="I831">
        <f>VLOOKUP(D831,Клиенты!$A$2:$D$1000,2,0)</f>
        <v/>
      </c>
      <c r="J831">
        <f>IF(AND(H831="Kaptur",I831="Окраинов Л.Г.",YEAR(B831)=2020),E831,0)</f>
        <v/>
      </c>
    </row>
    <row r="832">
      <c r="A832" s="6" t="n">
        <v>831</v>
      </c>
      <c r="B832" s="13" t="n">
        <v>44038</v>
      </c>
      <c r="C832" s="6" t="inlineStr">
        <is>
          <t>A16</t>
        </is>
      </c>
      <c r="D832" s="6" t="n">
        <v>10</v>
      </c>
      <c r="E832" s="15" t="n">
        <v>438</v>
      </c>
      <c r="F832" s="5" t="inlineStr">
        <is>
          <t>нет</t>
        </is>
      </c>
      <c r="G832" s="7" t="n"/>
      <c r="H832">
        <f>VLOOKUP(C832,Автомобили!$A$2:$G$1000,3,0)</f>
        <v/>
      </c>
      <c r="I832">
        <f>VLOOKUP(D832,Клиенты!$A$2:$D$1000,2,0)</f>
        <v/>
      </c>
      <c r="J832">
        <f>IF(AND(H832="Kaptur",I832="Окраинов Л.Г.",YEAR(B832)=2020),E832,0)</f>
        <v/>
      </c>
    </row>
    <row r="833">
      <c r="A833" s="6" t="n">
        <v>832</v>
      </c>
      <c r="B833" s="13" t="n">
        <v>44038</v>
      </c>
      <c r="C833" s="6" t="inlineStr">
        <is>
          <t>A24</t>
        </is>
      </c>
      <c r="D833" s="6" t="n">
        <v>14</v>
      </c>
      <c r="E833" s="15" t="n">
        <v>197</v>
      </c>
      <c r="F833" s="5" t="inlineStr">
        <is>
          <t>нет</t>
        </is>
      </c>
      <c r="G833" s="7" t="n"/>
      <c r="H833">
        <f>VLOOKUP(C833,Автомобили!$A$2:$G$1000,3,0)</f>
        <v/>
      </c>
      <c r="I833">
        <f>VLOOKUP(D833,Клиенты!$A$2:$D$1000,2,0)</f>
        <v/>
      </c>
      <c r="J833">
        <f>IF(AND(H833="Kaptur",I833="Окраинов Л.Г.",YEAR(B833)=2020),E833,0)</f>
        <v/>
      </c>
    </row>
    <row r="834">
      <c r="A834" s="6" t="n">
        <v>833</v>
      </c>
      <c r="B834" s="13" t="n">
        <v>44039</v>
      </c>
      <c r="C834" s="6" t="inlineStr">
        <is>
          <t>A35</t>
        </is>
      </c>
      <c r="D834" s="6" t="n">
        <v>13</v>
      </c>
      <c r="E834" s="15" t="n">
        <v>109</v>
      </c>
      <c r="F834" s="5" t="inlineStr">
        <is>
          <t>нет</t>
        </is>
      </c>
      <c r="G834" s="7" t="n"/>
      <c r="H834">
        <f>VLOOKUP(C834,Автомобили!$A$2:$G$1000,3,0)</f>
        <v/>
      </c>
      <c r="I834">
        <f>VLOOKUP(D834,Клиенты!$A$2:$D$1000,2,0)</f>
        <v/>
      </c>
      <c r="J834">
        <f>IF(AND(H834="Kaptur",I834="Окраинов Л.Г.",YEAR(B834)=2020),E834,0)</f>
        <v/>
      </c>
    </row>
    <row r="835">
      <c r="A835" s="6" t="n">
        <v>834</v>
      </c>
      <c r="B835" s="13" t="n">
        <v>44039</v>
      </c>
      <c r="C835" s="6" t="inlineStr">
        <is>
          <t>A33</t>
        </is>
      </c>
      <c r="D835" s="6" t="n">
        <v>9</v>
      </c>
      <c r="E835" s="15" t="n">
        <v>411</v>
      </c>
      <c r="F835" s="5" t="inlineStr">
        <is>
          <t>нет</t>
        </is>
      </c>
      <c r="G835" s="7" t="n"/>
      <c r="H835">
        <f>VLOOKUP(C835,Автомобили!$A$2:$G$1000,3,0)</f>
        <v/>
      </c>
      <c r="I835">
        <f>VLOOKUP(D835,Клиенты!$A$2:$D$1000,2,0)</f>
        <v/>
      </c>
      <c r="J835">
        <f>IF(AND(H835="Kaptur",I835="Окраинов Л.Г.",YEAR(B835)=2020),E835,0)</f>
        <v/>
      </c>
    </row>
    <row r="836">
      <c r="A836" s="6" t="n">
        <v>835</v>
      </c>
      <c r="B836" s="13" t="n">
        <v>44039</v>
      </c>
      <c r="C836" s="6" t="inlineStr">
        <is>
          <t>A3</t>
        </is>
      </c>
      <c r="D836" s="6" t="n">
        <v>2</v>
      </c>
      <c r="E836" s="15" t="n">
        <v>297</v>
      </c>
      <c r="F836" s="5" t="inlineStr">
        <is>
          <t>нет</t>
        </is>
      </c>
      <c r="G836" s="7" t="n"/>
      <c r="H836">
        <f>VLOOKUP(C836,Автомобили!$A$2:$G$1000,3,0)</f>
        <v/>
      </c>
      <c r="I836">
        <f>VLOOKUP(D836,Клиенты!$A$2:$D$1000,2,0)</f>
        <v/>
      </c>
      <c r="J836">
        <f>IF(AND(H836="Kaptur",I836="Окраинов Л.Г.",YEAR(B836)=2020),E836,0)</f>
        <v/>
      </c>
    </row>
    <row r="837">
      <c r="A837" s="6" t="n">
        <v>836</v>
      </c>
      <c r="B837" s="13" t="n">
        <v>44039</v>
      </c>
      <c r="C837" s="6" t="inlineStr">
        <is>
          <t>A58</t>
        </is>
      </c>
      <c r="D837" s="6" t="n">
        <v>5</v>
      </c>
      <c r="E837" s="15" t="n">
        <v>78</v>
      </c>
      <c r="F837" s="5" t="inlineStr">
        <is>
          <t>нет</t>
        </is>
      </c>
      <c r="G837" s="7" t="n"/>
      <c r="H837">
        <f>VLOOKUP(C837,Автомобили!$A$2:$G$1000,3,0)</f>
        <v/>
      </c>
      <c r="I837">
        <f>VLOOKUP(D837,Клиенты!$A$2:$D$1000,2,0)</f>
        <v/>
      </c>
      <c r="J837">
        <f>IF(AND(H837="Kaptur",I837="Окраинов Л.Г.",YEAR(B837)=2020),E837,0)</f>
        <v/>
      </c>
    </row>
    <row r="838">
      <c r="A838" s="6" t="n">
        <v>837</v>
      </c>
      <c r="B838" s="13" t="n">
        <v>44040</v>
      </c>
      <c r="C838" s="6" t="inlineStr">
        <is>
          <t>A41</t>
        </is>
      </c>
      <c r="D838" s="6" t="n">
        <v>6</v>
      </c>
      <c r="E838" s="15" t="n">
        <v>123</v>
      </c>
      <c r="F838" s="5" t="inlineStr">
        <is>
          <t>нет</t>
        </is>
      </c>
      <c r="G838" s="7" t="n"/>
      <c r="H838">
        <f>VLOOKUP(C838,Автомобили!$A$2:$G$1000,3,0)</f>
        <v/>
      </c>
      <c r="I838">
        <f>VLOOKUP(D838,Клиенты!$A$2:$D$1000,2,0)</f>
        <v/>
      </c>
      <c r="J838">
        <f>IF(AND(H838="Kaptur",I838="Окраинов Л.Г.",YEAR(B838)=2020),E838,0)</f>
        <v/>
      </c>
    </row>
    <row r="839">
      <c r="A839" s="6" t="n">
        <v>838</v>
      </c>
      <c r="B839" s="13" t="n">
        <v>44040</v>
      </c>
      <c r="C839" s="6" t="inlineStr">
        <is>
          <t>A17</t>
        </is>
      </c>
      <c r="D839" s="6" t="n">
        <v>9</v>
      </c>
      <c r="E839" s="15" t="n">
        <v>334</v>
      </c>
      <c r="F839" s="5" t="inlineStr">
        <is>
          <t>нет</t>
        </is>
      </c>
      <c r="G839" s="7" t="n"/>
      <c r="H839">
        <f>VLOOKUP(C839,Автомобили!$A$2:$G$1000,3,0)</f>
        <v/>
      </c>
      <c r="I839">
        <f>VLOOKUP(D839,Клиенты!$A$2:$D$1000,2,0)</f>
        <v/>
      </c>
      <c r="J839">
        <f>IF(AND(H839="Kaptur",I839="Окраинов Л.Г.",YEAR(B839)=2020),E839,0)</f>
        <v/>
      </c>
    </row>
    <row r="840">
      <c r="A840" s="6" t="n">
        <v>839</v>
      </c>
      <c r="B840" s="13" t="n">
        <v>44040</v>
      </c>
      <c r="C840" s="6" t="inlineStr">
        <is>
          <t>A15</t>
        </is>
      </c>
      <c r="D840" s="6" t="n">
        <v>11</v>
      </c>
      <c r="E840" s="15" t="n">
        <v>234</v>
      </c>
      <c r="F840" s="5" t="inlineStr">
        <is>
          <t>нет</t>
        </is>
      </c>
      <c r="G840" s="7" t="n"/>
      <c r="H840">
        <f>VLOOKUP(C840,Автомобили!$A$2:$G$1000,3,0)</f>
        <v/>
      </c>
      <c r="I840">
        <f>VLOOKUP(D840,Клиенты!$A$2:$D$1000,2,0)</f>
        <v/>
      </c>
      <c r="J840">
        <f>IF(AND(H840="Kaptur",I840="Окраинов Л.Г.",YEAR(B840)=2020),E840,0)</f>
        <v/>
      </c>
    </row>
    <row r="841">
      <c r="A841" s="6" t="n">
        <v>840</v>
      </c>
      <c r="B841" s="13" t="n">
        <v>44040</v>
      </c>
      <c r="C841" s="6" t="inlineStr">
        <is>
          <t>A63</t>
        </is>
      </c>
      <c r="D841" s="6" t="n">
        <v>3</v>
      </c>
      <c r="E841" s="15" t="n">
        <v>431</v>
      </c>
      <c r="F841" s="5" t="inlineStr">
        <is>
          <t>нет</t>
        </is>
      </c>
      <c r="G841" s="7" t="n"/>
      <c r="H841">
        <f>VLOOKUP(C841,Автомобили!$A$2:$G$1000,3,0)</f>
        <v/>
      </c>
      <c r="I841">
        <f>VLOOKUP(D841,Клиенты!$A$2:$D$1000,2,0)</f>
        <v/>
      </c>
      <c r="J841">
        <f>IF(AND(H841="Kaptur",I841="Окраинов Л.Г.",YEAR(B841)=2020),E841,0)</f>
        <v/>
      </c>
    </row>
    <row r="842">
      <c r="A842" s="6" t="n">
        <v>841</v>
      </c>
      <c r="B842" s="13" t="n">
        <v>44041</v>
      </c>
      <c r="C842" s="6" t="inlineStr">
        <is>
          <t>A55</t>
        </is>
      </c>
      <c r="D842" s="6" t="n">
        <v>4</v>
      </c>
      <c r="E842" s="15" t="n">
        <v>319</v>
      </c>
      <c r="F842" s="5" t="inlineStr">
        <is>
          <t>нет</t>
        </is>
      </c>
      <c r="G842" s="7" t="n"/>
      <c r="H842">
        <f>VLOOKUP(C842,Автомобили!$A$2:$G$1000,3,0)</f>
        <v/>
      </c>
      <c r="I842">
        <f>VLOOKUP(D842,Клиенты!$A$2:$D$1000,2,0)</f>
        <v/>
      </c>
      <c r="J842">
        <f>IF(AND(H842="Kaptur",I842="Окраинов Л.Г.",YEAR(B842)=2020),E842,0)</f>
        <v/>
      </c>
    </row>
    <row r="843">
      <c r="A843" s="6" t="n">
        <v>842</v>
      </c>
      <c r="B843" s="13" t="n">
        <v>44041</v>
      </c>
      <c r="C843" s="6" t="inlineStr">
        <is>
          <t>A2</t>
        </is>
      </c>
      <c r="D843" s="6" t="n">
        <v>13</v>
      </c>
      <c r="E843" s="15" t="n">
        <v>175</v>
      </c>
      <c r="F843" s="5" t="inlineStr">
        <is>
          <t>нет</t>
        </is>
      </c>
      <c r="G843" s="7" t="n"/>
      <c r="H843">
        <f>VLOOKUP(C843,Автомобили!$A$2:$G$1000,3,0)</f>
        <v/>
      </c>
      <c r="I843">
        <f>VLOOKUP(D843,Клиенты!$A$2:$D$1000,2,0)</f>
        <v/>
      </c>
      <c r="J843">
        <f>IF(AND(H843="Kaptur",I843="Окраинов Л.Г.",YEAR(B843)=2020),E843,0)</f>
        <v/>
      </c>
    </row>
    <row r="844">
      <c r="A844" s="6" t="n">
        <v>843</v>
      </c>
      <c r="B844" s="13" t="n">
        <v>44041</v>
      </c>
      <c r="C844" s="6" t="inlineStr">
        <is>
          <t>A57</t>
        </is>
      </c>
      <c r="D844" s="6" t="n">
        <v>4</v>
      </c>
      <c r="E844" s="15" t="n">
        <v>145</v>
      </c>
      <c r="F844" s="5" t="inlineStr">
        <is>
          <t>нет</t>
        </is>
      </c>
      <c r="G844" s="7" t="n"/>
      <c r="H844">
        <f>VLOOKUP(C844,Автомобили!$A$2:$G$1000,3,0)</f>
        <v/>
      </c>
      <c r="I844">
        <f>VLOOKUP(D844,Клиенты!$A$2:$D$1000,2,0)</f>
        <v/>
      </c>
      <c r="J844">
        <f>IF(AND(H844="Kaptur",I844="Окраинов Л.Г.",YEAR(B844)=2020),E844,0)</f>
        <v/>
      </c>
    </row>
    <row r="845">
      <c r="A845" s="6" t="n">
        <v>844</v>
      </c>
      <c r="B845" s="13" t="n">
        <v>44041</v>
      </c>
      <c r="C845" s="6" t="inlineStr">
        <is>
          <t>A47</t>
        </is>
      </c>
      <c r="D845" s="6" t="n">
        <v>8</v>
      </c>
      <c r="E845" s="15" t="n">
        <v>376</v>
      </c>
      <c r="F845" s="5" t="inlineStr">
        <is>
          <t>нет</t>
        </is>
      </c>
      <c r="G845" s="7" t="n"/>
      <c r="H845">
        <f>VLOOKUP(C845,Автомобили!$A$2:$G$1000,3,0)</f>
        <v/>
      </c>
      <c r="I845">
        <f>VLOOKUP(D845,Клиенты!$A$2:$D$1000,2,0)</f>
        <v/>
      </c>
      <c r="J845">
        <f>IF(AND(H845="Kaptur",I845="Окраинов Л.Г.",YEAR(B845)=2020),E845,0)</f>
        <v/>
      </c>
    </row>
    <row r="846">
      <c r="A846" s="6" t="n">
        <v>845</v>
      </c>
      <c r="B846" s="13" t="n">
        <v>44042</v>
      </c>
      <c r="C846" s="6" t="inlineStr">
        <is>
          <t>A47</t>
        </is>
      </c>
      <c r="D846" s="6" t="n">
        <v>14</v>
      </c>
      <c r="E846" s="15" t="n">
        <v>423</v>
      </c>
      <c r="F846" s="5" t="inlineStr">
        <is>
          <t>нет</t>
        </is>
      </c>
      <c r="G846" s="7" t="n"/>
      <c r="H846">
        <f>VLOOKUP(C846,Автомобили!$A$2:$G$1000,3,0)</f>
        <v/>
      </c>
      <c r="I846">
        <f>VLOOKUP(D846,Клиенты!$A$2:$D$1000,2,0)</f>
        <v/>
      </c>
      <c r="J846">
        <f>IF(AND(H846="Kaptur",I846="Окраинов Л.Г.",YEAR(B846)=2020),E846,0)</f>
        <v/>
      </c>
    </row>
    <row r="847">
      <c r="A847" s="6" t="n">
        <v>846</v>
      </c>
      <c r="B847" s="13" t="n">
        <v>44042</v>
      </c>
      <c r="C847" s="6" t="inlineStr">
        <is>
          <t>A62</t>
        </is>
      </c>
      <c r="D847" s="6" t="n">
        <v>13</v>
      </c>
      <c r="E847" s="15" t="n">
        <v>156</v>
      </c>
      <c r="F847" s="5" t="inlineStr">
        <is>
          <t>нет</t>
        </is>
      </c>
      <c r="G847" s="7" t="n"/>
      <c r="H847">
        <f>VLOOKUP(C847,Автомобили!$A$2:$G$1000,3,0)</f>
        <v/>
      </c>
      <c r="I847">
        <f>VLOOKUP(D847,Клиенты!$A$2:$D$1000,2,0)</f>
        <v/>
      </c>
      <c r="J847">
        <f>IF(AND(H847="Kaptur",I847="Окраинов Л.Г.",YEAR(B847)=2020),E847,0)</f>
        <v/>
      </c>
    </row>
    <row r="848">
      <c r="A848" s="6" t="n">
        <v>847</v>
      </c>
      <c r="B848" s="13" t="n">
        <v>44042</v>
      </c>
      <c r="C848" s="6" t="inlineStr">
        <is>
          <t>A56</t>
        </is>
      </c>
      <c r="D848" s="6" t="n">
        <v>3</v>
      </c>
      <c r="E848" s="15" t="n">
        <v>166</v>
      </c>
      <c r="F848" s="5" t="inlineStr">
        <is>
          <t>нет</t>
        </is>
      </c>
      <c r="G848" s="7" t="n"/>
      <c r="H848">
        <f>VLOOKUP(C848,Автомобили!$A$2:$G$1000,3,0)</f>
        <v/>
      </c>
      <c r="I848">
        <f>VLOOKUP(D848,Клиенты!$A$2:$D$1000,2,0)</f>
        <v/>
      </c>
      <c r="J848">
        <f>IF(AND(H848="Kaptur",I848="Окраинов Л.Г.",YEAR(B848)=2020),E848,0)</f>
        <v/>
      </c>
    </row>
    <row r="849">
      <c r="A849" s="6" t="n">
        <v>848</v>
      </c>
      <c r="B849" s="13" t="n">
        <v>44042</v>
      </c>
      <c r="C849" s="6" t="inlineStr">
        <is>
          <t>A23</t>
        </is>
      </c>
      <c r="D849" s="6" t="n">
        <v>15</v>
      </c>
      <c r="E849" s="15" t="n">
        <v>262</v>
      </c>
      <c r="F849" s="5" t="inlineStr">
        <is>
          <t>нет</t>
        </is>
      </c>
      <c r="G849" s="7" t="n"/>
      <c r="H849">
        <f>VLOOKUP(C849,Автомобили!$A$2:$G$1000,3,0)</f>
        <v/>
      </c>
      <c r="I849">
        <f>VLOOKUP(D849,Клиенты!$A$2:$D$1000,2,0)</f>
        <v/>
      </c>
      <c r="J849">
        <f>IF(AND(H849="Kaptur",I849="Окраинов Л.Г.",YEAR(B849)=2020),E849,0)</f>
        <v/>
      </c>
    </row>
    <row r="850">
      <c r="A850" s="6" t="n">
        <v>849</v>
      </c>
      <c r="B850" s="13" t="n">
        <v>44043</v>
      </c>
      <c r="C850" s="6" t="inlineStr">
        <is>
          <t>A58</t>
        </is>
      </c>
      <c r="D850" s="6" t="n">
        <v>14</v>
      </c>
      <c r="E850" s="15" t="n">
        <v>427</v>
      </c>
      <c r="F850" s="5" t="inlineStr">
        <is>
          <t>нет</t>
        </is>
      </c>
      <c r="G850" s="7" t="n"/>
      <c r="H850">
        <f>VLOOKUP(C850,Автомобили!$A$2:$G$1000,3,0)</f>
        <v/>
      </c>
      <c r="I850">
        <f>VLOOKUP(D850,Клиенты!$A$2:$D$1000,2,0)</f>
        <v/>
      </c>
      <c r="J850">
        <f>IF(AND(H850="Kaptur",I850="Окраинов Л.Г.",YEAR(B850)=2020),E850,0)</f>
        <v/>
      </c>
    </row>
    <row r="851">
      <c r="A851" s="6" t="n">
        <v>850</v>
      </c>
      <c r="B851" s="13" t="n">
        <v>44043</v>
      </c>
      <c r="C851" s="6" t="inlineStr">
        <is>
          <t>A40</t>
        </is>
      </c>
      <c r="D851" s="6" t="n">
        <v>1</v>
      </c>
      <c r="E851" s="15" t="n">
        <v>93</v>
      </c>
      <c r="F851" s="5" t="inlineStr">
        <is>
          <t>нет</t>
        </is>
      </c>
      <c r="G851" s="7" t="n"/>
      <c r="H851">
        <f>VLOOKUP(C851,Автомобили!$A$2:$G$1000,3,0)</f>
        <v/>
      </c>
      <c r="I851">
        <f>VLOOKUP(D851,Клиенты!$A$2:$D$1000,2,0)</f>
        <v/>
      </c>
      <c r="J851">
        <f>IF(AND(H851="Kaptur",I851="Окраинов Л.Г.",YEAR(B851)=2020),E851,0)</f>
        <v/>
      </c>
    </row>
    <row r="852">
      <c r="A852" s="6" t="n">
        <v>851</v>
      </c>
      <c r="B852" s="13" t="n">
        <v>44043</v>
      </c>
      <c r="C852" s="6" t="inlineStr">
        <is>
          <t>A11</t>
        </is>
      </c>
      <c r="D852" s="6" t="n">
        <v>8</v>
      </c>
      <c r="E852" s="15" t="n">
        <v>181</v>
      </c>
      <c r="F852" s="5" t="inlineStr">
        <is>
          <t>нет</t>
        </is>
      </c>
      <c r="G852" s="7" t="n"/>
      <c r="H852">
        <f>VLOOKUP(C852,Автомобили!$A$2:$G$1000,3,0)</f>
        <v/>
      </c>
      <c r="I852">
        <f>VLOOKUP(D852,Клиенты!$A$2:$D$1000,2,0)</f>
        <v/>
      </c>
      <c r="J852">
        <f>IF(AND(H852="Kaptur",I852="Окраинов Л.Г.",YEAR(B852)=2020),E852,0)</f>
        <v/>
      </c>
    </row>
    <row r="853">
      <c r="A853" s="6" t="n">
        <v>852</v>
      </c>
      <c r="B853" s="13" t="n">
        <v>44043</v>
      </c>
      <c r="C853" s="6" t="inlineStr">
        <is>
          <t>A51</t>
        </is>
      </c>
      <c r="D853" s="6" t="n">
        <v>5</v>
      </c>
      <c r="E853" s="15" t="n">
        <v>96</v>
      </c>
      <c r="F853" s="5" t="inlineStr">
        <is>
          <t>нет</t>
        </is>
      </c>
      <c r="G853" s="7" t="n"/>
      <c r="H853">
        <f>VLOOKUP(C853,Автомобили!$A$2:$G$1000,3,0)</f>
        <v/>
      </c>
      <c r="I853">
        <f>VLOOKUP(D853,Клиенты!$A$2:$D$1000,2,0)</f>
        <v/>
      </c>
      <c r="J853">
        <f>IF(AND(H853="Kaptur",I853="Окраинов Л.Г.",YEAR(B853)=2020),E853,0)</f>
        <v/>
      </c>
    </row>
    <row r="854">
      <c r="A854" s="6" t="n">
        <v>853</v>
      </c>
      <c r="B854" s="13" t="n">
        <v>44044</v>
      </c>
      <c r="C854" s="6" t="inlineStr">
        <is>
          <t>A41</t>
        </is>
      </c>
      <c r="D854" s="6" t="n">
        <v>8</v>
      </c>
      <c r="E854" s="15" t="n">
        <v>141</v>
      </c>
      <c r="F854" s="5" t="inlineStr">
        <is>
          <t>нет</t>
        </is>
      </c>
      <c r="G854" s="7" t="n"/>
      <c r="H854">
        <f>VLOOKUP(C854,Автомобили!$A$2:$G$1000,3,0)</f>
        <v/>
      </c>
      <c r="I854">
        <f>VLOOKUP(D854,Клиенты!$A$2:$D$1000,2,0)</f>
        <v/>
      </c>
      <c r="J854">
        <f>IF(AND(H854="Kaptur",I854="Окраинов Л.Г.",YEAR(B854)=2020),E854,0)</f>
        <v/>
      </c>
    </row>
    <row r="855">
      <c r="A855" s="6" t="n">
        <v>854</v>
      </c>
      <c r="B855" s="13" t="n">
        <v>44044</v>
      </c>
      <c r="C855" s="6" t="inlineStr">
        <is>
          <t>A51</t>
        </is>
      </c>
      <c r="D855" s="6" t="n">
        <v>13</v>
      </c>
      <c r="E855" s="15" t="n">
        <v>163</v>
      </c>
      <c r="F855" s="5" t="inlineStr">
        <is>
          <t>нет</t>
        </is>
      </c>
      <c r="G855" s="7" t="n"/>
      <c r="H855">
        <f>VLOOKUP(C855,Автомобили!$A$2:$G$1000,3,0)</f>
        <v/>
      </c>
      <c r="I855">
        <f>VLOOKUP(D855,Клиенты!$A$2:$D$1000,2,0)</f>
        <v/>
      </c>
      <c r="J855">
        <f>IF(AND(H855="Kaptur",I855="Окраинов Л.Г.",YEAR(B855)=2020),E855,0)</f>
        <v/>
      </c>
    </row>
    <row r="856">
      <c r="A856" s="6" t="n">
        <v>855</v>
      </c>
      <c r="B856" s="13" t="n">
        <v>44044</v>
      </c>
      <c r="C856" s="6" t="inlineStr">
        <is>
          <t>A10</t>
        </is>
      </c>
      <c r="D856" s="6" t="n">
        <v>12</v>
      </c>
      <c r="E856" s="15" t="n">
        <v>84</v>
      </c>
      <c r="F856" s="5" t="inlineStr">
        <is>
          <t>нет</t>
        </is>
      </c>
      <c r="G856" s="7" t="n"/>
      <c r="H856">
        <f>VLOOKUP(C856,Автомобили!$A$2:$G$1000,3,0)</f>
        <v/>
      </c>
      <c r="I856">
        <f>VLOOKUP(D856,Клиенты!$A$2:$D$1000,2,0)</f>
        <v/>
      </c>
      <c r="J856">
        <f>IF(AND(H856="Kaptur",I856="Окраинов Л.Г.",YEAR(B856)=2020),E856,0)</f>
        <v/>
      </c>
    </row>
    <row r="857">
      <c r="A857" s="6" t="n">
        <v>856</v>
      </c>
      <c r="B857" s="13" t="n">
        <v>44044</v>
      </c>
      <c r="C857" s="6" t="inlineStr">
        <is>
          <t>A53</t>
        </is>
      </c>
      <c r="D857" s="6" t="n">
        <v>12</v>
      </c>
      <c r="E857" s="15" t="n">
        <v>301</v>
      </c>
      <c r="F857" s="5" t="inlineStr">
        <is>
          <t>нет</t>
        </is>
      </c>
      <c r="G857" s="7" t="n"/>
      <c r="H857">
        <f>VLOOKUP(C857,Автомобили!$A$2:$G$1000,3,0)</f>
        <v/>
      </c>
      <c r="I857">
        <f>VLOOKUP(D857,Клиенты!$A$2:$D$1000,2,0)</f>
        <v/>
      </c>
      <c r="J857">
        <f>IF(AND(H857="Kaptur",I857="Окраинов Л.Г.",YEAR(B857)=2020),E857,0)</f>
        <v/>
      </c>
    </row>
    <row r="858">
      <c r="A858" s="6" t="n">
        <v>857</v>
      </c>
      <c r="B858" s="13" t="n">
        <v>44045</v>
      </c>
      <c r="C858" s="6" t="inlineStr">
        <is>
          <t>A42</t>
        </is>
      </c>
      <c r="D858" s="6" t="n">
        <v>5</v>
      </c>
      <c r="E858" s="15" t="n">
        <v>394</v>
      </c>
      <c r="F858" s="5" t="inlineStr">
        <is>
          <t>нет</t>
        </is>
      </c>
      <c r="G858" s="7" t="n"/>
      <c r="H858">
        <f>VLOOKUP(C858,Автомобили!$A$2:$G$1000,3,0)</f>
        <v/>
      </c>
      <c r="I858">
        <f>VLOOKUP(D858,Клиенты!$A$2:$D$1000,2,0)</f>
        <v/>
      </c>
      <c r="J858">
        <f>IF(AND(H858="Kaptur",I858="Окраинов Л.Г.",YEAR(B858)=2020),E858,0)</f>
        <v/>
      </c>
    </row>
    <row r="859">
      <c r="A859" s="6" t="n">
        <v>858</v>
      </c>
      <c r="B859" s="13" t="n">
        <v>44045</v>
      </c>
      <c r="C859" s="6" t="inlineStr">
        <is>
          <t>A59</t>
        </is>
      </c>
      <c r="D859" s="6" t="n">
        <v>5</v>
      </c>
      <c r="E859" s="15" t="n">
        <v>231</v>
      </c>
      <c r="F859" s="5" t="inlineStr">
        <is>
          <t>нет</t>
        </is>
      </c>
      <c r="G859" s="7" t="n"/>
      <c r="H859">
        <f>VLOOKUP(C859,Автомобили!$A$2:$G$1000,3,0)</f>
        <v/>
      </c>
      <c r="I859">
        <f>VLOOKUP(D859,Клиенты!$A$2:$D$1000,2,0)</f>
        <v/>
      </c>
      <c r="J859">
        <f>IF(AND(H859="Kaptur",I859="Окраинов Л.Г.",YEAR(B859)=2020),E859,0)</f>
        <v/>
      </c>
    </row>
    <row r="860">
      <c r="A860" s="6" t="n">
        <v>859</v>
      </c>
      <c r="B860" s="13" t="n">
        <v>44045</v>
      </c>
      <c r="C860" s="6" t="inlineStr">
        <is>
          <t>A55</t>
        </is>
      </c>
      <c r="D860" s="6" t="n">
        <v>8</v>
      </c>
      <c r="E860" s="15" t="n">
        <v>85</v>
      </c>
      <c r="F860" s="5" t="inlineStr">
        <is>
          <t>нет</t>
        </is>
      </c>
      <c r="G860" s="7" t="n"/>
      <c r="H860">
        <f>VLOOKUP(C860,Автомобили!$A$2:$G$1000,3,0)</f>
        <v/>
      </c>
      <c r="I860">
        <f>VLOOKUP(D860,Клиенты!$A$2:$D$1000,2,0)</f>
        <v/>
      </c>
      <c r="J860">
        <f>IF(AND(H860="Kaptur",I860="Окраинов Л.Г.",YEAR(B860)=2020),E860,0)</f>
        <v/>
      </c>
    </row>
    <row r="861">
      <c r="A861" s="6" t="n">
        <v>860</v>
      </c>
      <c r="B861" s="13" t="n">
        <v>44045</v>
      </c>
      <c r="C861" s="6" t="inlineStr">
        <is>
          <t>A13</t>
        </is>
      </c>
      <c r="D861" s="6" t="n">
        <v>15</v>
      </c>
      <c r="E861" s="15" t="n">
        <v>323</v>
      </c>
      <c r="F861" s="5" t="inlineStr">
        <is>
          <t>нет</t>
        </is>
      </c>
      <c r="G861" s="7" t="n"/>
      <c r="H861">
        <f>VLOOKUP(C861,Автомобили!$A$2:$G$1000,3,0)</f>
        <v/>
      </c>
      <c r="I861">
        <f>VLOOKUP(D861,Клиенты!$A$2:$D$1000,2,0)</f>
        <v/>
      </c>
      <c r="J861">
        <f>IF(AND(H861="Kaptur",I861="Окраинов Л.Г.",YEAR(B861)=2020),E861,0)</f>
        <v/>
      </c>
    </row>
    <row r="862">
      <c r="A862" s="6" t="n">
        <v>861</v>
      </c>
      <c r="B862" s="13" t="n">
        <v>44046</v>
      </c>
      <c r="C862" s="6" t="inlineStr">
        <is>
          <t>A64</t>
        </is>
      </c>
      <c r="D862" s="6" t="n">
        <v>12</v>
      </c>
      <c r="E862" s="15" t="n">
        <v>376</v>
      </c>
      <c r="F862" s="5" t="inlineStr">
        <is>
          <t>нет</t>
        </is>
      </c>
      <c r="G862" s="7" t="n"/>
      <c r="H862">
        <f>VLOOKUP(C862,Автомобили!$A$2:$G$1000,3,0)</f>
        <v/>
      </c>
      <c r="I862">
        <f>VLOOKUP(D862,Клиенты!$A$2:$D$1000,2,0)</f>
        <v/>
      </c>
      <c r="J862">
        <f>IF(AND(H862="Kaptur",I862="Окраинов Л.Г.",YEAR(B862)=2020),E862,0)</f>
        <v/>
      </c>
    </row>
    <row r="863">
      <c r="A863" s="6" t="n">
        <v>862</v>
      </c>
      <c r="B863" s="13" t="n">
        <v>44046</v>
      </c>
      <c r="C863" s="6" t="inlineStr">
        <is>
          <t>A60</t>
        </is>
      </c>
      <c r="D863" s="6" t="n">
        <v>6</v>
      </c>
      <c r="E863" s="15" t="n">
        <v>286</v>
      </c>
      <c r="F863" s="5" t="inlineStr">
        <is>
          <t>нет</t>
        </is>
      </c>
      <c r="G863" s="7" t="n"/>
      <c r="H863">
        <f>VLOOKUP(C863,Автомобили!$A$2:$G$1000,3,0)</f>
        <v/>
      </c>
      <c r="I863">
        <f>VLOOKUP(D863,Клиенты!$A$2:$D$1000,2,0)</f>
        <v/>
      </c>
      <c r="J863">
        <f>IF(AND(H863="Kaptur",I863="Окраинов Л.Г.",YEAR(B863)=2020),E863,0)</f>
        <v/>
      </c>
    </row>
    <row r="864">
      <c r="A864" s="6" t="n">
        <v>863</v>
      </c>
      <c r="B864" s="13" t="n">
        <v>44046</v>
      </c>
      <c r="C864" s="6" t="inlineStr">
        <is>
          <t>A63</t>
        </is>
      </c>
      <c r="D864" s="6" t="n">
        <v>5</v>
      </c>
      <c r="E864" s="15" t="n">
        <v>442</v>
      </c>
      <c r="F864" s="5" t="inlineStr">
        <is>
          <t>нет</t>
        </is>
      </c>
      <c r="G864" s="7" t="n"/>
      <c r="H864">
        <f>VLOOKUP(C864,Автомобили!$A$2:$G$1000,3,0)</f>
        <v/>
      </c>
      <c r="I864">
        <f>VLOOKUP(D864,Клиенты!$A$2:$D$1000,2,0)</f>
        <v/>
      </c>
      <c r="J864">
        <f>IF(AND(H864="Kaptur",I864="Окраинов Л.Г.",YEAR(B864)=2020),E864,0)</f>
        <v/>
      </c>
    </row>
    <row r="865">
      <c r="A865" s="6" t="n">
        <v>864</v>
      </c>
      <c r="B865" s="13" t="n">
        <v>44046</v>
      </c>
      <c r="C865" s="6" t="inlineStr">
        <is>
          <t>A35</t>
        </is>
      </c>
      <c r="D865" s="6" t="n">
        <v>1</v>
      </c>
      <c r="E865" s="15" t="n">
        <v>298</v>
      </c>
      <c r="F865" s="5" t="inlineStr">
        <is>
          <t>нет</t>
        </is>
      </c>
      <c r="G865" s="7" t="n"/>
      <c r="H865">
        <f>VLOOKUP(C865,Автомобили!$A$2:$G$1000,3,0)</f>
        <v/>
      </c>
      <c r="I865">
        <f>VLOOKUP(D865,Клиенты!$A$2:$D$1000,2,0)</f>
        <v/>
      </c>
      <c r="J865">
        <f>IF(AND(H865="Kaptur",I865="Окраинов Л.Г.",YEAR(B865)=2020),E865,0)</f>
        <v/>
      </c>
    </row>
    <row r="866">
      <c r="A866" s="6" t="n">
        <v>865</v>
      </c>
      <c r="B866" s="13" t="n">
        <v>44047</v>
      </c>
      <c r="C866" s="6" t="inlineStr">
        <is>
          <t>A12</t>
        </is>
      </c>
      <c r="D866" s="6" t="n">
        <v>6</v>
      </c>
      <c r="E866" s="15" t="n">
        <v>308</v>
      </c>
      <c r="F866" s="5" t="inlineStr">
        <is>
          <t>нет</t>
        </is>
      </c>
      <c r="G866" s="7" t="n"/>
      <c r="H866">
        <f>VLOOKUP(C866,Автомобили!$A$2:$G$1000,3,0)</f>
        <v/>
      </c>
      <c r="I866">
        <f>VLOOKUP(D866,Клиенты!$A$2:$D$1000,2,0)</f>
        <v/>
      </c>
      <c r="J866">
        <f>IF(AND(H866="Kaptur",I866="Окраинов Л.Г.",YEAR(B866)=2020),E866,0)</f>
        <v/>
      </c>
    </row>
    <row r="867">
      <c r="A867" s="6" t="n">
        <v>866</v>
      </c>
      <c r="B867" s="13" t="n">
        <v>44047</v>
      </c>
      <c r="C867" s="6" t="inlineStr">
        <is>
          <t>A25</t>
        </is>
      </c>
      <c r="D867" s="6" t="n">
        <v>3</v>
      </c>
      <c r="E867" s="15" t="n">
        <v>293</v>
      </c>
      <c r="F867" s="5" t="inlineStr">
        <is>
          <t>нет</t>
        </is>
      </c>
      <c r="G867" s="7" t="n"/>
      <c r="H867">
        <f>VLOOKUP(C867,Автомобили!$A$2:$G$1000,3,0)</f>
        <v/>
      </c>
      <c r="I867">
        <f>VLOOKUP(D867,Клиенты!$A$2:$D$1000,2,0)</f>
        <v/>
      </c>
      <c r="J867">
        <f>IF(AND(H867="Kaptur",I867="Окраинов Л.Г.",YEAR(B867)=2020),E867,0)</f>
        <v/>
      </c>
    </row>
    <row r="868">
      <c r="A868" s="6" t="n">
        <v>867</v>
      </c>
      <c r="B868" s="13" t="n">
        <v>44047</v>
      </c>
      <c r="C868" s="6" t="inlineStr">
        <is>
          <t>A36</t>
        </is>
      </c>
      <c r="D868" s="6" t="n">
        <v>15</v>
      </c>
      <c r="E868" s="15" t="n">
        <v>149</v>
      </c>
      <c r="F868" s="5" t="inlineStr">
        <is>
          <t>нет</t>
        </is>
      </c>
      <c r="G868" s="7" t="n"/>
      <c r="H868">
        <f>VLOOKUP(C868,Автомобили!$A$2:$G$1000,3,0)</f>
        <v/>
      </c>
      <c r="I868">
        <f>VLOOKUP(D868,Клиенты!$A$2:$D$1000,2,0)</f>
        <v/>
      </c>
      <c r="J868">
        <f>IF(AND(H868="Kaptur",I868="Окраинов Л.Г.",YEAR(B868)=2020),E868,0)</f>
        <v/>
      </c>
    </row>
    <row r="869">
      <c r="A869" s="6" t="n">
        <v>868</v>
      </c>
      <c r="B869" s="13" t="n">
        <v>44047</v>
      </c>
      <c r="C869" s="6" t="inlineStr">
        <is>
          <t>A46</t>
        </is>
      </c>
      <c r="D869" s="6" t="n">
        <v>13</v>
      </c>
      <c r="E869" s="15" t="n">
        <v>194</v>
      </c>
      <c r="F869" s="5" t="inlineStr">
        <is>
          <t>нет</t>
        </is>
      </c>
      <c r="G869" s="7" t="n"/>
      <c r="H869">
        <f>VLOOKUP(C869,Автомобили!$A$2:$G$1000,3,0)</f>
        <v/>
      </c>
      <c r="I869">
        <f>VLOOKUP(D869,Клиенты!$A$2:$D$1000,2,0)</f>
        <v/>
      </c>
      <c r="J869">
        <f>IF(AND(H869="Kaptur",I869="Окраинов Л.Г.",YEAR(B869)=2020),E869,0)</f>
        <v/>
      </c>
    </row>
    <row r="870">
      <c r="A870" s="6" t="n">
        <v>869</v>
      </c>
      <c r="B870" s="13" t="n">
        <v>44048</v>
      </c>
      <c r="C870" s="6" t="inlineStr">
        <is>
          <t>A34</t>
        </is>
      </c>
      <c r="D870" s="6" t="n">
        <v>14</v>
      </c>
      <c r="E870" s="15" t="n">
        <v>324</v>
      </c>
      <c r="F870" s="5" t="inlineStr">
        <is>
          <t>нет</t>
        </is>
      </c>
      <c r="G870" s="7" t="n"/>
      <c r="H870">
        <f>VLOOKUP(C870,Автомобили!$A$2:$G$1000,3,0)</f>
        <v/>
      </c>
      <c r="I870">
        <f>VLOOKUP(D870,Клиенты!$A$2:$D$1000,2,0)</f>
        <v/>
      </c>
      <c r="J870">
        <f>IF(AND(H870="Kaptur",I870="Окраинов Л.Г.",YEAR(B870)=2020),E870,0)</f>
        <v/>
      </c>
    </row>
    <row r="871">
      <c r="A871" s="6" t="n">
        <v>870</v>
      </c>
      <c r="B871" s="13" t="n">
        <v>44048</v>
      </c>
      <c r="C871" s="6" t="inlineStr">
        <is>
          <t>A3</t>
        </is>
      </c>
      <c r="D871" s="6" t="n">
        <v>15</v>
      </c>
      <c r="E871" s="15" t="n">
        <v>368</v>
      </c>
      <c r="F871" s="5" t="inlineStr">
        <is>
          <t>нет</t>
        </is>
      </c>
      <c r="G871" s="7" t="n"/>
      <c r="H871">
        <f>VLOOKUP(C871,Автомобили!$A$2:$G$1000,3,0)</f>
        <v/>
      </c>
      <c r="I871">
        <f>VLOOKUP(D871,Клиенты!$A$2:$D$1000,2,0)</f>
        <v/>
      </c>
      <c r="J871">
        <f>IF(AND(H871="Kaptur",I871="Окраинов Л.Г.",YEAR(B871)=2020),E871,0)</f>
        <v/>
      </c>
    </row>
    <row r="872">
      <c r="A872" s="6" t="n">
        <v>871</v>
      </c>
      <c r="B872" s="13" t="n">
        <v>44048</v>
      </c>
      <c r="C872" s="6" t="inlineStr">
        <is>
          <t>A11</t>
        </is>
      </c>
      <c r="D872" s="6" t="n">
        <v>7</v>
      </c>
      <c r="E872" s="15" t="n">
        <v>360</v>
      </c>
      <c r="F872" s="5" t="inlineStr">
        <is>
          <t>нет</t>
        </is>
      </c>
      <c r="G872" s="7" t="n"/>
      <c r="H872">
        <f>VLOOKUP(C872,Автомобили!$A$2:$G$1000,3,0)</f>
        <v/>
      </c>
      <c r="I872">
        <f>VLOOKUP(D872,Клиенты!$A$2:$D$1000,2,0)</f>
        <v/>
      </c>
      <c r="J872">
        <f>IF(AND(H872="Kaptur",I872="Окраинов Л.Г.",YEAR(B872)=2020),E872,0)</f>
        <v/>
      </c>
    </row>
    <row r="873">
      <c r="A873" s="6" t="n">
        <v>872</v>
      </c>
      <c r="B873" s="13" t="n">
        <v>44048</v>
      </c>
      <c r="C873" s="6" t="inlineStr">
        <is>
          <t>A44</t>
        </is>
      </c>
      <c r="D873" s="6" t="n">
        <v>14</v>
      </c>
      <c r="E873" s="15" t="n">
        <v>134</v>
      </c>
      <c r="F873" s="5" t="inlineStr">
        <is>
          <t>нет</t>
        </is>
      </c>
      <c r="G873" s="7" t="n"/>
      <c r="H873">
        <f>VLOOKUP(C873,Автомобили!$A$2:$G$1000,3,0)</f>
        <v/>
      </c>
      <c r="I873">
        <f>VLOOKUP(D873,Клиенты!$A$2:$D$1000,2,0)</f>
        <v/>
      </c>
      <c r="J873">
        <f>IF(AND(H873="Kaptur",I873="Окраинов Л.Г.",YEAR(B873)=2020),E873,0)</f>
        <v/>
      </c>
    </row>
    <row r="874">
      <c r="A874" s="6" t="n">
        <v>873</v>
      </c>
      <c r="B874" s="13" t="n">
        <v>44049</v>
      </c>
      <c r="C874" s="6" t="inlineStr">
        <is>
          <t>A9</t>
        </is>
      </c>
      <c r="D874" s="6" t="n">
        <v>4</v>
      </c>
      <c r="E874" s="15" t="n">
        <v>287</v>
      </c>
      <c r="F874" s="5" t="inlineStr">
        <is>
          <t>нет</t>
        </is>
      </c>
      <c r="G874" s="7" t="n"/>
      <c r="H874">
        <f>VLOOKUP(C874,Автомобили!$A$2:$G$1000,3,0)</f>
        <v/>
      </c>
      <c r="I874">
        <f>VLOOKUP(D874,Клиенты!$A$2:$D$1000,2,0)</f>
        <v/>
      </c>
      <c r="J874">
        <f>IF(AND(H874="Kaptur",I874="Окраинов Л.Г.",YEAR(B874)=2020),E874,0)</f>
        <v/>
      </c>
    </row>
    <row r="875">
      <c r="A875" s="6" t="n">
        <v>874</v>
      </c>
      <c r="B875" s="13" t="n">
        <v>44049</v>
      </c>
      <c r="C875" s="6" t="inlineStr">
        <is>
          <t>A65</t>
        </is>
      </c>
      <c r="D875" s="6" t="n">
        <v>5</v>
      </c>
      <c r="E875" s="15" t="n">
        <v>368</v>
      </c>
      <c r="F875" s="5" t="inlineStr">
        <is>
          <t>нет</t>
        </is>
      </c>
      <c r="G875" s="7" t="n"/>
      <c r="H875">
        <f>VLOOKUP(C875,Автомобили!$A$2:$G$1000,3,0)</f>
        <v/>
      </c>
      <c r="I875">
        <f>VLOOKUP(D875,Клиенты!$A$2:$D$1000,2,0)</f>
        <v/>
      </c>
      <c r="J875">
        <f>IF(AND(H875="Kaptur",I875="Окраинов Л.Г.",YEAR(B875)=2020),E875,0)</f>
        <v/>
      </c>
    </row>
    <row r="876">
      <c r="A876" s="6" t="n">
        <v>875</v>
      </c>
      <c r="B876" s="13" t="n">
        <v>44049</v>
      </c>
      <c r="C876" s="6" t="inlineStr">
        <is>
          <t>A47</t>
        </is>
      </c>
      <c r="D876" s="6" t="n">
        <v>6</v>
      </c>
      <c r="E876" s="15" t="n">
        <v>337</v>
      </c>
      <c r="F876" s="5" t="inlineStr">
        <is>
          <t>нет</t>
        </is>
      </c>
      <c r="G876" s="7" t="n"/>
      <c r="H876">
        <f>VLOOKUP(C876,Автомобили!$A$2:$G$1000,3,0)</f>
        <v/>
      </c>
      <c r="I876">
        <f>VLOOKUP(D876,Клиенты!$A$2:$D$1000,2,0)</f>
        <v/>
      </c>
      <c r="J876">
        <f>IF(AND(H876="Kaptur",I876="Окраинов Л.Г.",YEAR(B876)=2020),E876,0)</f>
        <v/>
      </c>
    </row>
    <row r="877">
      <c r="A877" s="6" t="n">
        <v>876</v>
      </c>
      <c r="B877" s="13" t="n">
        <v>44049</v>
      </c>
      <c r="C877" s="6" t="inlineStr">
        <is>
          <t>A23</t>
        </is>
      </c>
      <c r="D877" s="6" t="n">
        <v>7</v>
      </c>
      <c r="E877" s="15" t="n">
        <v>389</v>
      </c>
      <c r="F877" s="5" t="inlineStr">
        <is>
          <t>нет</t>
        </is>
      </c>
      <c r="G877" s="7" t="n"/>
      <c r="H877">
        <f>VLOOKUP(C877,Автомобили!$A$2:$G$1000,3,0)</f>
        <v/>
      </c>
      <c r="I877">
        <f>VLOOKUP(D877,Клиенты!$A$2:$D$1000,2,0)</f>
        <v/>
      </c>
      <c r="J877">
        <f>IF(AND(H877="Kaptur",I877="Окраинов Л.Г.",YEAR(B877)=2020),E877,0)</f>
        <v/>
      </c>
    </row>
    <row r="878">
      <c r="A878" s="6" t="n">
        <v>877</v>
      </c>
      <c r="B878" s="13" t="n">
        <v>44050</v>
      </c>
      <c r="C878" s="6" t="inlineStr">
        <is>
          <t>A33</t>
        </is>
      </c>
      <c r="D878" s="6" t="n">
        <v>15</v>
      </c>
      <c r="E878" s="15" t="n">
        <v>231</v>
      </c>
      <c r="F878" s="5" t="inlineStr">
        <is>
          <t>нет</t>
        </is>
      </c>
      <c r="G878" s="7" t="n"/>
      <c r="H878">
        <f>VLOOKUP(C878,Автомобили!$A$2:$G$1000,3,0)</f>
        <v/>
      </c>
      <c r="I878">
        <f>VLOOKUP(D878,Клиенты!$A$2:$D$1000,2,0)</f>
        <v/>
      </c>
      <c r="J878">
        <f>IF(AND(H878="Kaptur",I878="Окраинов Л.Г.",YEAR(B878)=2020),E878,0)</f>
        <v/>
      </c>
    </row>
    <row r="879">
      <c r="A879" s="6" t="n">
        <v>878</v>
      </c>
      <c r="B879" s="13" t="n">
        <v>44050</v>
      </c>
      <c r="C879" s="6" t="inlineStr">
        <is>
          <t>A28</t>
        </is>
      </c>
      <c r="D879" s="6" t="n">
        <v>15</v>
      </c>
      <c r="E879" s="15" t="n">
        <v>386</v>
      </c>
      <c r="F879" s="5" t="inlineStr">
        <is>
          <t>нет</t>
        </is>
      </c>
      <c r="G879" s="7" t="n"/>
      <c r="H879">
        <f>VLOOKUP(C879,Автомобили!$A$2:$G$1000,3,0)</f>
        <v/>
      </c>
      <c r="I879">
        <f>VLOOKUP(D879,Клиенты!$A$2:$D$1000,2,0)</f>
        <v/>
      </c>
      <c r="J879">
        <f>IF(AND(H879="Kaptur",I879="Окраинов Л.Г.",YEAR(B879)=2020),E879,0)</f>
        <v/>
      </c>
    </row>
    <row r="880">
      <c r="A880" s="6" t="n">
        <v>879</v>
      </c>
      <c r="B880" s="13" t="n">
        <v>44050</v>
      </c>
      <c r="C880" s="6" t="inlineStr">
        <is>
          <t>A46</t>
        </is>
      </c>
      <c r="D880" s="6" t="n">
        <v>10</v>
      </c>
      <c r="E880" s="15" t="n">
        <v>405</v>
      </c>
      <c r="F880" s="5" t="inlineStr">
        <is>
          <t>нет</t>
        </is>
      </c>
      <c r="G880" s="7" t="n"/>
      <c r="H880">
        <f>VLOOKUP(C880,Автомобили!$A$2:$G$1000,3,0)</f>
        <v/>
      </c>
      <c r="I880">
        <f>VLOOKUP(D880,Клиенты!$A$2:$D$1000,2,0)</f>
        <v/>
      </c>
      <c r="J880">
        <f>IF(AND(H880="Kaptur",I880="Окраинов Л.Г.",YEAR(B880)=2020),E880,0)</f>
        <v/>
      </c>
    </row>
    <row r="881">
      <c r="A881" s="6" t="n">
        <v>880</v>
      </c>
      <c r="B881" s="13" t="n">
        <v>44050</v>
      </c>
      <c r="C881" s="6" t="inlineStr">
        <is>
          <t>A64</t>
        </is>
      </c>
      <c r="D881" s="6" t="n">
        <v>5</v>
      </c>
      <c r="E881" s="15" t="n">
        <v>393</v>
      </c>
      <c r="F881" s="5" t="inlineStr">
        <is>
          <t>нет</t>
        </is>
      </c>
      <c r="G881" s="7" t="n"/>
      <c r="H881">
        <f>VLOOKUP(C881,Автомобили!$A$2:$G$1000,3,0)</f>
        <v/>
      </c>
      <c r="I881">
        <f>VLOOKUP(D881,Клиенты!$A$2:$D$1000,2,0)</f>
        <v/>
      </c>
      <c r="J881">
        <f>IF(AND(H881="Kaptur",I881="Окраинов Л.Г.",YEAR(B881)=2020),E881,0)</f>
        <v/>
      </c>
    </row>
    <row r="882">
      <c r="A882" s="6" t="n">
        <v>881</v>
      </c>
      <c r="B882" s="13" t="n">
        <v>44051</v>
      </c>
      <c r="C882" s="6" t="inlineStr">
        <is>
          <t>A48</t>
        </is>
      </c>
      <c r="D882" s="6" t="n">
        <v>8</v>
      </c>
      <c r="E882" s="15" t="n">
        <v>431</v>
      </c>
      <c r="F882" s="5" t="inlineStr">
        <is>
          <t>нет</t>
        </is>
      </c>
      <c r="G882" s="7" t="n"/>
      <c r="H882">
        <f>VLOOKUP(C882,Автомобили!$A$2:$G$1000,3,0)</f>
        <v/>
      </c>
      <c r="I882">
        <f>VLOOKUP(D882,Клиенты!$A$2:$D$1000,2,0)</f>
        <v/>
      </c>
      <c r="J882">
        <f>IF(AND(H882="Kaptur",I882="Окраинов Л.Г.",YEAR(B882)=2020),E882,0)</f>
        <v/>
      </c>
    </row>
    <row r="883">
      <c r="A883" s="6" t="n">
        <v>882</v>
      </c>
      <c r="B883" s="13" t="n">
        <v>44051</v>
      </c>
      <c r="C883" s="6" t="inlineStr">
        <is>
          <t>A17</t>
        </is>
      </c>
      <c r="D883" s="6" t="n">
        <v>1</v>
      </c>
      <c r="E883" s="15" t="n">
        <v>390</v>
      </c>
      <c r="F883" s="5" t="inlineStr">
        <is>
          <t>нет</t>
        </is>
      </c>
      <c r="G883" s="7" t="n"/>
      <c r="H883">
        <f>VLOOKUP(C883,Автомобили!$A$2:$G$1000,3,0)</f>
        <v/>
      </c>
      <c r="I883">
        <f>VLOOKUP(D883,Клиенты!$A$2:$D$1000,2,0)</f>
        <v/>
      </c>
      <c r="J883">
        <f>IF(AND(H883="Kaptur",I883="Окраинов Л.Г.",YEAR(B883)=2020),E883,0)</f>
        <v/>
      </c>
    </row>
    <row r="884">
      <c r="A884" s="6" t="n">
        <v>883</v>
      </c>
      <c r="B884" s="13" t="n">
        <v>44051</v>
      </c>
      <c r="C884" s="6" t="inlineStr">
        <is>
          <t>A6</t>
        </is>
      </c>
      <c r="D884" s="6" t="n">
        <v>9</v>
      </c>
      <c r="E884" s="15" t="n">
        <v>322</v>
      </c>
      <c r="F884" s="5" t="inlineStr">
        <is>
          <t>нет</t>
        </is>
      </c>
      <c r="G884" s="7" t="n"/>
      <c r="H884">
        <f>VLOOKUP(C884,Автомобили!$A$2:$G$1000,3,0)</f>
        <v/>
      </c>
      <c r="I884">
        <f>VLOOKUP(D884,Клиенты!$A$2:$D$1000,2,0)</f>
        <v/>
      </c>
      <c r="J884">
        <f>IF(AND(H884="Kaptur",I884="Окраинов Л.Г.",YEAR(B884)=2020),E884,0)</f>
        <v/>
      </c>
    </row>
    <row r="885">
      <c r="A885" s="6" t="n">
        <v>884</v>
      </c>
      <c r="B885" s="13" t="n">
        <v>44051</v>
      </c>
      <c r="C885" s="6" t="inlineStr">
        <is>
          <t>A44</t>
        </is>
      </c>
      <c r="D885" s="6" t="n">
        <v>14</v>
      </c>
      <c r="E885" s="15" t="n">
        <v>281</v>
      </c>
      <c r="F885" s="5" t="inlineStr">
        <is>
          <t>нет</t>
        </is>
      </c>
      <c r="G885" s="7" t="n"/>
      <c r="H885">
        <f>VLOOKUP(C885,Автомобили!$A$2:$G$1000,3,0)</f>
        <v/>
      </c>
      <c r="I885">
        <f>VLOOKUP(D885,Клиенты!$A$2:$D$1000,2,0)</f>
        <v/>
      </c>
      <c r="J885">
        <f>IF(AND(H885="Kaptur",I885="Окраинов Л.Г.",YEAR(B885)=2020),E885,0)</f>
        <v/>
      </c>
    </row>
    <row r="886">
      <c r="A886" s="6" t="n">
        <v>885</v>
      </c>
      <c r="B886" s="13" t="n">
        <v>44052</v>
      </c>
      <c r="C886" s="6" t="inlineStr">
        <is>
          <t>A46</t>
        </is>
      </c>
      <c r="D886" s="6" t="n">
        <v>5</v>
      </c>
      <c r="E886" s="15" t="n">
        <v>100</v>
      </c>
      <c r="F886" s="5" t="inlineStr">
        <is>
          <t>нет</t>
        </is>
      </c>
      <c r="G886" s="7" t="n"/>
      <c r="H886">
        <f>VLOOKUP(C886,Автомобили!$A$2:$G$1000,3,0)</f>
        <v/>
      </c>
      <c r="I886">
        <f>VLOOKUP(D886,Клиенты!$A$2:$D$1000,2,0)</f>
        <v/>
      </c>
      <c r="J886">
        <f>IF(AND(H886="Kaptur",I886="Окраинов Л.Г.",YEAR(B886)=2020),E886,0)</f>
        <v/>
      </c>
    </row>
    <row r="887">
      <c r="A887" s="6" t="n">
        <v>886</v>
      </c>
      <c r="B887" s="13" t="n">
        <v>44052</v>
      </c>
      <c r="C887" s="6" t="inlineStr">
        <is>
          <t>A14</t>
        </is>
      </c>
      <c r="D887" s="6" t="n">
        <v>3</v>
      </c>
      <c r="E887" s="15" t="n">
        <v>343</v>
      </c>
      <c r="F887" s="5" t="inlineStr">
        <is>
          <t>нет</t>
        </is>
      </c>
      <c r="G887" s="7" t="n"/>
      <c r="H887">
        <f>VLOOKUP(C887,Автомобили!$A$2:$G$1000,3,0)</f>
        <v/>
      </c>
      <c r="I887">
        <f>VLOOKUP(D887,Клиенты!$A$2:$D$1000,2,0)</f>
        <v/>
      </c>
      <c r="J887">
        <f>IF(AND(H887="Kaptur",I887="Окраинов Л.Г.",YEAR(B887)=2020),E887,0)</f>
        <v/>
      </c>
    </row>
    <row r="888">
      <c r="A888" s="6" t="n">
        <v>887</v>
      </c>
      <c r="B888" s="13" t="n">
        <v>44052</v>
      </c>
      <c r="C888" s="6" t="inlineStr">
        <is>
          <t>A36</t>
        </is>
      </c>
      <c r="D888" s="6" t="n">
        <v>5</v>
      </c>
      <c r="E888" s="15" t="n">
        <v>408</v>
      </c>
      <c r="F888" s="5" t="inlineStr">
        <is>
          <t>нет</t>
        </is>
      </c>
      <c r="G888" s="7" t="n"/>
      <c r="H888">
        <f>VLOOKUP(C888,Автомобили!$A$2:$G$1000,3,0)</f>
        <v/>
      </c>
      <c r="I888">
        <f>VLOOKUP(D888,Клиенты!$A$2:$D$1000,2,0)</f>
        <v/>
      </c>
      <c r="J888">
        <f>IF(AND(H888="Kaptur",I888="Окраинов Л.Г.",YEAR(B888)=2020),E888,0)</f>
        <v/>
      </c>
    </row>
    <row r="889">
      <c r="A889" s="6" t="n">
        <v>888</v>
      </c>
      <c r="B889" s="13" t="n">
        <v>44052</v>
      </c>
      <c r="C889" s="6" t="inlineStr">
        <is>
          <t>A45</t>
        </is>
      </c>
      <c r="D889" s="6" t="n">
        <v>6</v>
      </c>
      <c r="E889" s="15" t="n">
        <v>389</v>
      </c>
      <c r="F889" s="5" t="inlineStr">
        <is>
          <t>нет</t>
        </is>
      </c>
      <c r="G889" s="7" t="n"/>
      <c r="H889">
        <f>VLOOKUP(C889,Автомобили!$A$2:$G$1000,3,0)</f>
        <v/>
      </c>
      <c r="I889">
        <f>VLOOKUP(D889,Клиенты!$A$2:$D$1000,2,0)</f>
        <v/>
      </c>
      <c r="J889">
        <f>IF(AND(H889="Kaptur",I889="Окраинов Л.Г.",YEAR(B889)=2020),E889,0)</f>
        <v/>
      </c>
    </row>
    <row r="890">
      <c r="A890" s="6" t="n">
        <v>889</v>
      </c>
      <c r="B890" s="13" t="n">
        <v>44053</v>
      </c>
      <c r="C890" s="6" t="inlineStr">
        <is>
          <t>A47</t>
        </is>
      </c>
      <c r="D890" s="6" t="n">
        <v>14</v>
      </c>
      <c r="E890" s="15" t="n">
        <v>289</v>
      </c>
      <c r="F890" s="5" t="inlineStr">
        <is>
          <t>нет</t>
        </is>
      </c>
      <c r="G890" s="7" t="n"/>
      <c r="H890">
        <f>VLOOKUP(C890,Автомобили!$A$2:$G$1000,3,0)</f>
        <v/>
      </c>
      <c r="I890">
        <f>VLOOKUP(D890,Клиенты!$A$2:$D$1000,2,0)</f>
        <v/>
      </c>
      <c r="J890">
        <f>IF(AND(H890="Kaptur",I890="Окраинов Л.Г.",YEAR(B890)=2020),E890,0)</f>
        <v/>
      </c>
    </row>
    <row r="891">
      <c r="A891" s="6" t="n">
        <v>890</v>
      </c>
      <c r="B891" s="13" t="n">
        <v>44053</v>
      </c>
      <c r="C891" s="6" t="inlineStr">
        <is>
          <t>A56</t>
        </is>
      </c>
      <c r="D891" s="6" t="n">
        <v>4</v>
      </c>
      <c r="E891" s="15" t="n">
        <v>320</v>
      </c>
      <c r="F891" s="5" t="inlineStr">
        <is>
          <t>нет</t>
        </is>
      </c>
      <c r="G891" s="7" t="n"/>
      <c r="H891">
        <f>VLOOKUP(C891,Автомобили!$A$2:$G$1000,3,0)</f>
        <v/>
      </c>
      <c r="I891">
        <f>VLOOKUP(D891,Клиенты!$A$2:$D$1000,2,0)</f>
        <v/>
      </c>
      <c r="J891">
        <f>IF(AND(H891="Kaptur",I891="Окраинов Л.Г.",YEAR(B891)=2020),E891,0)</f>
        <v/>
      </c>
    </row>
    <row r="892">
      <c r="A892" s="6" t="n">
        <v>891</v>
      </c>
      <c r="B892" s="13" t="n">
        <v>44053</v>
      </c>
      <c r="C892" s="6" t="inlineStr">
        <is>
          <t>A16</t>
        </is>
      </c>
      <c r="D892" s="6" t="n">
        <v>13</v>
      </c>
      <c r="E892" s="15" t="n">
        <v>97</v>
      </c>
      <c r="F892" s="5" t="inlineStr">
        <is>
          <t>нет</t>
        </is>
      </c>
      <c r="G892" s="7" t="n"/>
      <c r="H892">
        <f>VLOOKUP(C892,Автомобили!$A$2:$G$1000,3,0)</f>
        <v/>
      </c>
      <c r="I892">
        <f>VLOOKUP(D892,Клиенты!$A$2:$D$1000,2,0)</f>
        <v/>
      </c>
      <c r="J892">
        <f>IF(AND(H892="Kaptur",I892="Окраинов Л.Г.",YEAR(B892)=2020),E892,0)</f>
        <v/>
      </c>
    </row>
    <row r="893">
      <c r="A893" s="6" t="n">
        <v>892</v>
      </c>
      <c r="B893" s="13" t="n">
        <v>44053</v>
      </c>
      <c r="C893" s="6" t="inlineStr">
        <is>
          <t>A4</t>
        </is>
      </c>
      <c r="D893" s="6" t="n">
        <v>6</v>
      </c>
      <c r="E893" s="15" t="n">
        <v>273</v>
      </c>
      <c r="F893" s="5" t="inlineStr">
        <is>
          <t>нет</t>
        </is>
      </c>
      <c r="G893" s="7" t="n"/>
      <c r="H893">
        <f>VLOOKUP(C893,Автомобили!$A$2:$G$1000,3,0)</f>
        <v/>
      </c>
      <c r="I893">
        <f>VLOOKUP(D893,Клиенты!$A$2:$D$1000,2,0)</f>
        <v/>
      </c>
      <c r="J893">
        <f>IF(AND(H893="Kaptur",I893="Окраинов Л.Г.",YEAR(B893)=2020),E893,0)</f>
        <v/>
      </c>
    </row>
    <row r="894">
      <c r="A894" s="6" t="n">
        <v>893</v>
      </c>
      <c r="B894" s="13" t="n">
        <v>44054</v>
      </c>
      <c r="C894" s="6" t="inlineStr">
        <is>
          <t>A52</t>
        </is>
      </c>
      <c r="D894" s="6" t="n">
        <v>11</v>
      </c>
      <c r="E894" s="15" t="n">
        <v>183</v>
      </c>
      <c r="F894" s="5" t="inlineStr">
        <is>
          <t>нет</t>
        </is>
      </c>
      <c r="G894" s="7" t="n"/>
      <c r="H894">
        <f>VLOOKUP(C894,Автомобили!$A$2:$G$1000,3,0)</f>
        <v/>
      </c>
      <c r="I894">
        <f>VLOOKUP(D894,Клиенты!$A$2:$D$1000,2,0)</f>
        <v/>
      </c>
      <c r="J894">
        <f>IF(AND(H894="Kaptur",I894="Окраинов Л.Г.",YEAR(B894)=2020),E894,0)</f>
        <v/>
      </c>
    </row>
    <row r="895">
      <c r="A895" s="6" t="n">
        <v>894</v>
      </c>
      <c r="B895" s="13" t="n">
        <v>44054</v>
      </c>
      <c r="C895" s="6" t="inlineStr">
        <is>
          <t>A58</t>
        </is>
      </c>
      <c r="D895" s="6" t="n">
        <v>8</v>
      </c>
      <c r="E895" s="15" t="n">
        <v>315</v>
      </c>
      <c r="F895" s="5" t="inlineStr">
        <is>
          <t>нет</t>
        </is>
      </c>
      <c r="G895" s="7" t="n"/>
      <c r="H895">
        <f>VLOOKUP(C895,Автомобили!$A$2:$G$1000,3,0)</f>
        <v/>
      </c>
      <c r="I895">
        <f>VLOOKUP(D895,Клиенты!$A$2:$D$1000,2,0)</f>
        <v/>
      </c>
      <c r="J895">
        <f>IF(AND(H895="Kaptur",I895="Окраинов Л.Г.",YEAR(B895)=2020),E895,0)</f>
        <v/>
      </c>
    </row>
    <row r="896">
      <c r="A896" s="6" t="n">
        <v>895</v>
      </c>
      <c r="B896" s="13" t="n">
        <v>44054</v>
      </c>
      <c r="C896" s="6" t="inlineStr">
        <is>
          <t>A21</t>
        </is>
      </c>
      <c r="D896" s="6" t="n">
        <v>4</v>
      </c>
      <c r="E896" s="15" t="n">
        <v>431</v>
      </c>
      <c r="F896" s="5" t="inlineStr">
        <is>
          <t>нет</t>
        </is>
      </c>
      <c r="G896" s="7" t="n"/>
      <c r="H896">
        <f>VLOOKUP(C896,Автомобили!$A$2:$G$1000,3,0)</f>
        <v/>
      </c>
      <c r="I896">
        <f>VLOOKUP(D896,Клиенты!$A$2:$D$1000,2,0)</f>
        <v/>
      </c>
      <c r="J896">
        <f>IF(AND(H896="Kaptur",I896="Окраинов Л.Г.",YEAR(B896)=2020),E896,0)</f>
        <v/>
      </c>
    </row>
    <row r="897">
      <c r="A897" s="6" t="n">
        <v>896</v>
      </c>
      <c r="B897" s="13" t="n">
        <v>44054</v>
      </c>
      <c r="C897" s="6" t="inlineStr">
        <is>
          <t>A36</t>
        </is>
      </c>
      <c r="D897" s="6" t="n">
        <v>8</v>
      </c>
      <c r="E897" s="15" t="n">
        <v>105</v>
      </c>
      <c r="F897" s="5" t="inlineStr">
        <is>
          <t>нет</t>
        </is>
      </c>
      <c r="G897" s="7" t="n"/>
      <c r="H897">
        <f>VLOOKUP(C897,Автомобили!$A$2:$G$1000,3,0)</f>
        <v/>
      </c>
      <c r="I897">
        <f>VLOOKUP(D897,Клиенты!$A$2:$D$1000,2,0)</f>
        <v/>
      </c>
      <c r="J897">
        <f>IF(AND(H897="Kaptur",I897="Окраинов Л.Г.",YEAR(B897)=2020),E897,0)</f>
        <v/>
      </c>
    </row>
    <row r="898">
      <c r="A898" s="6" t="n">
        <v>897</v>
      </c>
      <c r="B898" s="13" t="n">
        <v>44055</v>
      </c>
      <c r="C898" s="6" t="inlineStr">
        <is>
          <t>A55</t>
        </is>
      </c>
      <c r="D898" s="6" t="n">
        <v>13</v>
      </c>
      <c r="E898" s="15" t="n">
        <v>410</v>
      </c>
      <c r="F898" s="5" t="inlineStr">
        <is>
          <t>нет</t>
        </is>
      </c>
      <c r="G898" s="7" t="n"/>
      <c r="H898">
        <f>VLOOKUP(C898,Автомобили!$A$2:$G$1000,3,0)</f>
        <v/>
      </c>
      <c r="I898">
        <f>VLOOKUP(D898,Клиенты!$A$2:$D$1000,2,0)</f>
        <v/>
      </c>
      <c r="J898">
        <f>IF(AND(H898="Kaptur",I898="Окраинов Л.Г.",YEAR(B898)=2020),E898,0)</f>
        <v/>
      </c>
    </row>
    <row r="899">
      <c r="A899" s="6" t="n">
        <v>898</v>
      </c>
      <c r="B899" s="13" t="n">
        <v>44055</v>
      </c>
      <c r="C899" s="6" t="inlineStr">
        <is>
          <t>A22</t>
        </is>
      </c>
      <c r="D899" s="6" t="n">
        <v>6</v>
      </c>
      <c r="E899" s="15" t="n">
        <v>217</v>
      </c>
      <c r="F899" s="5" t="inlineStr">
        <is>
          <t>нет</t>
        </is>
      </c>
      <c r="G899" s="7" t="n"/>
      <c r="H899">
        <f>VLOOKUP(C899,Автомобили!$A$2:$G$1000,3,0)</f>
        <v/>
      </c>
      <c r="I899">
        <f>VLOOKUP(D899,Клиенты!$A$2:$D$1000,2,0)</f>
        <v/>
      </c>
      <c r="J899">
        <f>IF(AND(H899="Kaptur",I899="Окраинов Л.Г.",YEAR(B899)=2020),E899,0)</f>
        <v/>
      </c>
    </row>
    <row r="900">
      <c r="A900" s="6" t="n">
        <v>899</v>
      </c>
      <c r="B900" s="13" t="n">
        <v>44055</v>
      </c>
      <c r="C900" s="6" t="inlineStr">
        <is>
          <t>A3</t>
        </is>
      </c>
      <c r="D900" s="6" t="n">
        <v>3</v>
      </c>
      <c r="E900" s="15" t="n">
        <v>411</v>
      </c>
      <c r="F900" s="5" t="inlineStr">
        <is>
          <t>нет</t>
        </is>
      </c>
      <c r="G900" s="7" t="n"/>
      <c r="H900">
        <f>VLOOKUP(C900,Автомобили!$A$2:$G$1000,3,0)</f>
        <v/>
      </c>
      <c r="I900">
        <f>VLOOKUP(D900,Клиенты!$A$2:$D$1000,2,0)</f>
        <v/>
      </c>
      <c r="J900">
        <f>IF(AND(H900="Kaptur",I900="Окраинов Л.Г.",YEAR(B900)=2020),E900,0)</f>
        <v/>
      </c>
    </row>
    <row r="901">
      <c r="A901" s="6" t="n">
        <v>900</v>
      </c>
      <c r="B901" s="13" t="n">
        <v>44055</v>
      </c>
      <c r="C901" s="6" t="inlineStr">
        <is>
          <t>A5</t>
        </is>
      </c>
      <c r="D901" s="6" t="n">
        <v>15</v>
      </c>
      <c r="E901" s="15" t="n">
        <v>393</v>
      </c>
      <c r="F901" s="5" t="inlineStr">
        <is>
          <t>нет</t>
        </is>
      </c>
      <c r="G901" s="7" t="n"/>
      <c r="H901">
        <f>VLOOKUP(C901,Автомобили!$A$2:$G$1000,3,0)</f>
        <v/>
      </c>
      <c r="I901">
        <f>VLOOKUP(D901,Клиенты!$A$2:$D$1000,2,0)</f>
        <v/>
      </c>
      <c r="J901">
        <f>IF(AND(H901="Kaptur",I901="Окраинов Л.Г.",YEAR(B901)=2020),E901,0)</f>
        <v/>
      </c>
    </row>
    <row r="902">
      <c r="A902" s="6" t="n">
        <v>901</v>
      </c>
      <c r="B902" s="13" t="n">
        <v>44056</v>
      </c>
      <c r="C902" s="6" t="inlineStr">
        <is>
          <t>A31</t>
        </is>
      </c>
      <c r="D902" s="6" t="n">
        <v>13</v>
      </c>
      <c r="E902" s="15" t="n">
        <v>369</v>
      </c>
      <c r="F902" s="5" t="inlineStr">
        <is>
          <t>нет</t>
        </is>
      </c>
      <c r="G902" s="7" t="n"/>
      <c r="H902">
        <f>VLOOKUP(C902,Автомобили!$A$2:$G$1000,3,0)</f>
        <v/>
      </c>
      <c r="I902">
        <f>VLOOKUP(D902,Клиенты!$A$2:$D$1000,2,0)</f>
        <v/>
      </c>
      <c r="J902">
        <f>IF(AND(H902="Kaptur",I902="Окраинов Л.Г.",YEAR(B902)=2020),E902,0)</f>
        <v/>
      </c>
    </row>
    <row r="903">
      <c r="A903" s="6" t="n">
        <v>902</v>
      </c>
      <c r="B903" s="13" t="n">
        <v>44056</v>
      </c>
      <c r="C903" s="6" t="inlineStr">
        <is>
          <t>A35</t>
        </is>
      </c>
      <c r="D903" s="6" t="n">
        <v>8</v>
      </c>
      <c r="E903" s="15" t="n">
        <v>173</v>
      </c>
      <c r="F903" s="5" t="inlineStr">
        <is>
          <t>нет</t>
        </is>
      </c>
      <c r="G903" s="7" t="n"/>
      <c r="H903">
        <f>VLOOKUP(C903,Автомобили!$A$2:$G$1000,3,0)</f>
        <v/>
      </c>
      <c r="I903">
        <f>VLOOKUP(D903,Клиенты!$A$2:$D$1000,2,0)</f>
        <v/>
      </c>
      <c r="J903">
        <f>IF(AND(H903="Kaptur",I903="Окраинов Л.Г.",YEAR(B903)=2020),E903,0)</f>
        <v/>
      </c>
    </row>
    <row r="904">
      <c r="A904" s="6" t="n">
        <v>903</v>
      </c>
      <c r="B904" s="13" t="n">
        <v>44056</v>
      </c>
      <c r="C904" s="6" t="inlineStr">
        <is>
          <t>A37</t>
        </is>
      </c>
      <c r="D904" s="6" t="n">
        <v>5</v>
      </c>
      <c r="E904" s="15" t="n">
        <v>290</v>
      </c>
      <c r="F904" s="5" t="inlineStr">
        <is>
          <t>нет</t>
        </is>
      </c>
      <c r="G904" s="7" t="n"/>
      <c r="H904">
        <f>VLOOKUP(C904,Автомобили!$A$2:$G$1000,3,0)</f>
        <v/>
      </c>
      <c r="I904">
        <f>VLOOKUP(D904,Клиенты!$A$2:$D$1000,2,0)</f>
        <v/>
      </c>
      <c r="J904">
        <f>IF(AND(H904="Kaptur",I904="Окраинов Л.Г.",YEAR(B904)=2020),E904,0)</f>
        <v/>
      </c>
    </row>
    <row r="905">
      <c r="A905" s="6" t="n">
        <v>904</v>
      </c>
      <c r="B905" s="13" t="n">
        <v>44056</v>
      </c>
      <c r="C905" s="6" t="inlineStr">
        <is>
          <t>A19</t>
        </is>
      </c>
      <c r="D905" s="6" t="n">
        <v>8</v>
      </c>
      <c r="E905" s="15" t="n">
        <v>259</v>
      </c>
      <c r="F905" s="5" t="inlineStr">
        <is>
          <t>нет</t>
        </is>
      </c>
      <c r="G905" s="7" t="n"/>
      <c r="H905">
        <f>VLOOKUP(C905,Автомобили!$A$2:$G$1000,3,0)</f>
        <v/>
      </c>
      <c r="I905">
        <f>VLOOKUP(D905,Клиенты!$A$2:$D$1000,2,0)</f>
        <v/>
      </c>
      <c r="J905">
        <f>IF(AND(H905="Kaptur",I905="Окраинов Л.Г.",YEAR(B905)=2020),E905,0)</f>
        <v/>
      </c>
    </row>
    <row r="906">
      <c r="A906" s="6" t="n">
        <v>905</v>
      </c>
      <c r="B906" s="13" t="n">
        <v>44057</v>
      </c>
      <c r="C906" s="6" t="inlineStr">
        <is>
          <t>A60</t>
        </is>
      </c>
      <c r="D906" s="6" t="n">
        <v>11</v>
      </c>
      <c r="E906" s="15" t="n">
        <v>125</v>
      </c>
      <c r="F906" s="5" t="inlineStr">
        <is>
          <t>нет</t>
        </is>
      </c>
      <c r="G906" s="7" t="n"/>
      <c r="H906">
        <f>VLOOKUP(C906,Автомобили!$A$2:$G$1000,3,0)</f>
        <v/>
      </c>
      <c r="I906">
        <f>VLOOKUP(D906,Клиенты!$A$2:$D$1000,2,0)</f>
        <v/>
      </c>
      <c r="J906">
        <f>IF(AND(H906="Kaptur",I906="Окраинов Л.Г.",YEAR(B906)=2020),E906,0)</f>
        <v/>
      </c>
    </row>
    <row r="907">
      <c r="A907" s="6" t="n">
        <v>906</v>
      </c>
      <c r="B907" s="13" t="n">
        <v>44057</v>
      </c>
      <c r="C907" s="6" t="inlineStr">
        <is>
          <t>A25</t>
        </is>
      </c>
      <c r="D907" s="6" t="n">
        <v>14</v>
      </c>
      <c r="E907" s="15" t="n">
        <v>80</v>
      </c>
      <c r="F907" s="5" t="inlineStr">
        <is>
          <t>нет</t>
        </is>
      </c>
      <c r="G907" s="7" t="n"/>
      <c r="H907">
        <f>VLOOKUP(C907,Автомобили!$A$2:$G$1000,3,0)</f>
        <v/>
      </c>
      <c r="I907">
        <f>VLOOKUP(D907,Клиенты!$A$2:$D$1000,2,0)</f>
        <v/>
      </c>
      <c r="J907">
        <f>IF(AND(H907="Kaptur",I907="Окраинов Л.Г.",YEAR(B907)=2020),E907,0)</f>
        <v/>
      </c>
    </row>
    <row r="908">
      <c r="A908" s="6" t="n">
        <v>907</v>
      </c>
      <c r="B908" s="13" t="n">
        <v>44057</v>
      </c>
      <c r="C908" s="6" t="inlineStr">
        <is>
          <t>A42</t>
        </is>
      </c>
      <c r="D908" s="6" t="n">
        <v>11</v>
      </c>
      <c r="E908" s="15" t="n">
        <v>420</v>
      </c>
      <c r="F908" s="5" t="inlineStr">
        <is>
          <t>нет</t>
        </is>
      </c>
      <c r="G908" s="7" t="n"/>
      <c r="H908">
        <f>VLOOKUP(C908,Автомобили!$A$2:$G$1000,3,0)</f>
        <v/>
      </c>
      <c r="I908">
        <f>VLOOKUP(D908,Клиенты!$A$2:$D$1000,2,0)</f>
        <v/>
      </c>
      <c r="J908">
        <f>IF(AND(H908="Kaptur",I908="Окраинов Л.Г.",YEAR(B908)=2020),E908,0)</f>
        <v/>
      </c>
    </row>
    <row r="909">
      <c r="A909" s="6" t="n">
        <v>908</v>
      </c>
      <c r="B909" s="13" t="n">
        <v>44057</v>
      </c>
      <c r="C909" s="6" t="inlineStr">
        <is>
          <t>A24</t>
        </is>
      </c>
      <c r="D909" s="6" t="n">
        <v>10</v>
      </c>
      <c r="E909" s="15" t="n">
        <v>273</v>
      </c>
      <c r="F909" s="5" t="inlineStr">
        <is>
          <t>нет</t>
        </is>
      </c>
      <c r="G909" s="7" t="n"/>
      <c r="H909">
        <f>VLOOKUP(C909,Автомобили!$A$2:$G$1000,3,0)</f>
        <v/>
      </c>
      <c r="I909">
        <f>VLOOKUP(D909,Клиенты!$A$2:$D$1000,2,0)</f>
        <v/>
      </c>
      <c r="J909">
        <f>IF(AND(H909="Kaptur",I909="Окраинов Л.Г.",YEAR(B909)=2020),E909,0)</f>
        <v/>
      </c>
    </row>
    <row r="910">
      <c r="A910" s="6" t="n">
        <v>909</v>
      </c>
      <c r="B910" s="13" t="n">
        <v>44058</v>
      </c>
      <c r="C910" s="6" t="inlineStr">
        <is>
          <t>A32</t>
        </is>
      </c>
      <c r="D910" s="6" t="n">
        <v>10</v>
      </c>
      <c r="E910" s="15" t="n">
        <v>156</v>
      </c>
      <c r="F910" s="5" t="inlineStr">
        <is>
          <t>нет</t>
        </is>
      </c>
      <c r="G910" s="7" t="n"/>
      <c r="H910">
        <f>VLOOKUP(C910,Автомобили!$A$2:$G$1000,3,0)</f>
        <v/>
      </c>
      <c r="I910">
        <f>VLOOKUP(D910,Клиенты!$A$2:$D$1000,2,0)</f>
        <v/>
      </c>
      <c r="J910">
        <f>IF(AND(H910="Kaptur",I910="Окраинов Л.Г.",YEAR(B910)=2020),E910,0)</f>
        <v/>
      </c>
    </row>
    <row r="911">
      <c r="A911" s="6" t="n">
        <v>910</v>
      </c>
      <c r="B911" s="13" t="n">
        <v>44058</v>
      </c>
      <c r="C911" s="6" t="inlineStr">
        <is>
          <t>A21</t>
        </is>
      </c>
      <c r="D911" s="6" t="n">
        <v>10</v>
      </c>
      <c r="E911" s="15" t="n">
        <v>235</v>
      </c>
      <c r="F911" s="5" t="inlineStr">
        <is>
          <t>нет</t>
        </is>
      </c>
      <c r="G911" s="7" t="n"/>
      <c r="H911">
        <f>VLOOKUP(C911,Автомобили!$A$2:$G$1000,3,0)</f>
        <v/>
      </c>
      <c r="I911">
        <f>VLOOKUP(D911,Клиенты!$A$2:$D$1000,2,0)</f>
        <v/>
      </c>
      <c r="J911">
        <f>IF(AND(H911="Kaptur",I911="Окраинов Л.Г.",YEAR(B911)=2020),E911,0)</f>
        <v/>
      </c>
    </row>
    <row r="912">
      <c r="A912" s="6" t="n">
        <v>911</v>
      </c>
      <c r="B912" s="13" t="n">
        <v>44058</v>
      </c>
      <c r="C912" s="6" t="inlineStr">
        <is>
          <t>A5</t>
        </is>
      </c>
      <c r="D912" s="6" t="n">
        <v>13</v>
      </c>
      <c r="E912" s="15" t="n">
        <v>188</v>
      </c>
      <c r="F912" s="5" t="inlineStr">
        <is>
          <t>нет</t>
        </is>
      </c>
      <c r="G912" s="7" t="n"/>
      <c r="H912">
        <f>VLOOKUP(C912,Автомобили!$A$2:$G$1000,3,0)</f>
        <v/>
      </c>
      <c r="I912">
        <f>VLOOKUP(D912,Клиенты!$A$2:$D$1000,2,0)</f>
        <v/>
      </c>
      <c r="J912">
        <f>IF(AND(H912="Kaptur",I912="Окраинов Л.Г.",YEAR(B912)=2020),E912,0)</f>
        <v/>
      </c>
    </row>
    <row r="913">
      <c r="A913" s="6" t="n">
        <v>912</v>
      </c>
      <c r="B913" s="13" t="n">
        <v>44058</v>
      </c>
      <c r="C913" s="6" t="inlineStr">
        <is>
          <t>A42</t>
        </is>
      </c>
      <c r="D913" s="6" t="n">
        <v>8</v>
      </c>
      <c r="E913" s="15" t="n">
        <v>86</v>
      </c>
      <c r="F913" s="5" t="inlineStr">
        <is>
          <t>нет</t>
        </is>
      </c>
      <c r="G913" s="7" t="n"/>
      <c r="H913">
        <f>VLOOKUP(C913,Автомобили!$A$2:$G$1000,3,0)</f>
        <v/>
      </c>
      <c r="I913">
        <f>VLOOKUP(D913,Клиенты!$A$2:$D$1000,2,0)</f>
        <v/>
      </c>
      <c r="J913">
        <f>IF(AND(H913="Kaptur",I913="Окраинов Л.Г.",YEAR(B913)=2020),E913,0)</f>
        <v/>
      </c>
    </row>
    <row r="914">
      <c r="A914" s="6" t="n">
        <v>913</v>
      </c>
      <c r="B914" s="13" t="n">
        <v>44059</v>
      </c>
      <c r="C914" s="6" t="inlineStr">
        <is>
          <t>A58</t>
        </is>
      </c>
      <c r="D914" s="6" t="n">
        <v>6</v>
      </c>
      <c r="E914" s="15" t="n">
        <v>238</v>
      </c>
      <c r="F914" s="5" t="inlineStr">
        <is>
          <t>нет</t>
        </is>
      </c>
      <c r="G914" s="7" t="n"/>
      <c r="H914">
        <f>VLOOKUP(C914,Автомобили!$A$2:$G$1000,3,0)</f>
        <v/>
      </c>
      <c r="I914">
        <f>VLOOKUP(D914,Клиенты!$A$2:$D$1000,2,0)</f>
        <v/>
      </c>
      <c r="J914">
        <f>IF(AND(H914="Kaptur",I914="Окраинов Л.Г.",YEAR(B914)=2020),E914,0)</f>
        <v/>
      </c>
    </row>
    <row r="915">
      <c r="A915" s="6" t="n">
        <v>914</v>
      </c>
      <c r="B915" s="13" t="n">
        <v>44059</v>
      </c>
      <c r="C915" s="6" t="inlineStr">
        <is>
          <t>A44</t>
        </is>
      </c>
      <c r="D915" s="6" t="n">
        <v>11</v>
      </c>
      <c r="E915" s="15" t="n">
        <v>124</v>
      </c>
      <c r="F915" s="5" t="inlineStr">
        <is>
          <t>нет</t>
        </is>
      </c>
      <c r="G915" s="7" t="n"/>
      <c r="H915">
        <f>VLOOKUP(C915,Автомобили!$A$2:$G$1000,3,0)</f>
        <v/>
      </c>
      <c r="I915">
        <f>VLOOKUP(D915,Клиенты!$A$2:$D$1000,2,0)</f>
        <v/>
      </c>
      <c r="J915">
        <f>IF(AND(H915="Kaptur",I915="Окраинов Л.Г.",YEAR(B915)=2020),E915,0)</f>
        <v/>
      </c>
    </row>
    <row r="916">
      <c r="A916" s="6" t="n">
        <v>915</v>
      </c>
      <c r="B916" s="13" t="n">
        <v>44059</v>
      </c>
      <c r="C916" s="6" t="inlineStr">
        <is>
          <t>A15</t>
        </is>
      </c>
      <c r="D916" s="6" t="n">
        <v>4</v>
      </c>
      <c r="E916" s="15" t="n">
        <v>281</v>
      </c>
      <c r="F916" s="5" t="inlineStr">
        <is>
          <t>нет</t>
        </is>
      </c>
      <c r="G916" s="7" t="n"/>
      <c r="H916">
        <f>VLOOKUP(C916,Автомобили!$A$2:$G$1000,3,0)</f>
        <v/>
      </c>
      <c r="I916">
        <f>VLOOKUP(D916,Клиенты!$A$2:$D$1000,2,0)</f>
        <v/>
      </c>
      <c r="J916">
        <f>IF(AND(H916="Kaptur",I916="Окраинов Л.Г.",YEAR(B916)=2020),E916,0)</f>
        <v/>
      </c>
    </row>
    <row r="917">
      <c r="A917" s="6" t="n">
        <v>916</v>
      </c>
      <c r="B917" s="13" t="n">
        <v>44059</v>
      </c>
      <c r="C917" s="6" t="inlineStr">
        <is>
          <t>A25</t>
        </is>
      </c>
      <c r="D917" s="6" t="n">
        <v>2</v>
      </c>
      <c r="E917" s="15" t="n">
        <v>91</v>
      </c>
      <c r="F917" s="5" t="inlineStr">
        <is>
          <t>нет</t>
        </is>
      </c>
      <c r="G917" s="7" t="n"/>
      <c r="H917">
        <f>VLOOKUP(C917,Автомобили!$A$2:$G$1000,3,0)</f>
        <v/>
      </c>
      <c r="I917">
        <f>VLOOKUP(D917,Клиенты!$A$2:$D$1000,2,0)</f>
        <v/>
      </c>
      <c r="J917">
        <f>IF(AND(H917="Kaptur",I917="Окраинов Л.Г.",YEAR(B917)=2020),E917,0)</f>
        <v/>
      </c>
    </row>
    <row r="918">
      <c r="A918" s="6" t="n">
        <v>917</v>
      </c>
      <c r="B918" s="13" t="n">
        <v>44060</v>
      </c>
      <c r="C918" s="6" t="inlineStr">
        <is>
          <t>A25</t>
        </is>
      </c>
      <c r="D918" s="6" t="n">
        <v>5</v>
      </c>
      <c r="E918" s="15" t="n">
        <v>368</v>
      </c>
      <c r="F918" s="5" t="inlineStr">
        <is>
          <t>нет</t>
        </is>
      </c>
      <c r="G918" s="7" t="n"/>
      <c r="H918">
        <f>VLOOKUP(C918,Автомобили!$A$2:$G$1000,3,0)</f>
        <v/>
      </c>
      <c r="I918">
        <f>VLOOKUP(D918,Клиенты!$A$2:$D$1000,2,0)</f>
        <v/>
      </c>
      <c r="J918">
        <f>IF(AND(H918="Kaptur",I918="Окраинов Л.Г.",YEAR(B918)=2020),E918,0)</f>
        <v/>
      </c>
    </row>
    <row r="919">
      <c r="A919" s="6" t="n">
        <v>918</v>
      </c>
      <c r="B919" s="13" t="n">
        <v>44060</v>
      </c>
      <c r="C919" s="6" t="inlineStr">
        <is>
          <t>A48</t>
        </is>
      </c>
      <c r="D919" s="6" t="n">
        <v>14</v>
      </c>
      <c r="E919" s="15" t="n">
        <v>210</v>
      </c>
      <c r="F919" s="5" t="inlineStr">
        <is>
          <t>нет</t>
        </is>
      </c>
      <c r="G919" s="7" t="n"/>
      <c r="H919">
        <f>VLOOKUP(C919,Автомобили!$A$2:$G$1000,3,0)</f>
        <v/>
      </c>
      <c r="I919">
        <f>VLOOKUP(D919,Клиенты!$A$2:$D$1000,2,0)</f>
        <v/>
      </c>
      <c r="J919">
        <f>IF(AND(H919="Kaptur",I919="Окраинов Л.Г.",YEAR(B919)=2020),E919,0)</f>
        <v/>
      </c>
    </row>
    <row r="920">
      <c r="A920" s="6" t="n">
        <v>919</v>
      </c>
      <c r="B920" s="13" t="n">
        <v>44060</v>
      </c>
      <c r="C920" s="6" t="inlineStr">
        <is>
          <t>A5</t>
        </is>
      </c>
      <c r="D920" s="6" t="n">
        <v>2</v>
      </c>
      <c r="E920" s="15" t="n">
        <v>396</v>
      </c>
      <c r="F920" s="5" t="inlineStr">
        <is>
          <t>нет</t>
        </is>
      </c>
      <c r="G920" s="7" t="n"/>
      <c r="H920">
        <f>VLOOKUP(C920,Автомобили!$A$2:$G$1000,3,0)</f>
        <v/>
      </c>
      <c r="I920">
        <f>VLOOKUP(D920,Клиенты!$A$2:$D$1000,2,0)</f>
        <v/>
      </c>
      <c r="J920">
        <f>IF(AND(H920="Kaptur",I920="Окраинов Л.Г.",YEAR(B920)=2020),E920,0)</f>
        <v/>
      </c>
    </row>
    <row r="921">
      <c r="A921" s="6" t="n">
        <v>920</v>
      </c>
      <c r="B921" s="13" t="n">
        <v>44060</v>
      </c>
      <c r="C921" s="6" t="inlineStr">
        <is>
          <t>A19</t>
        </is>
      </c>
      <c r="D921" s="6" t="n">
        <v>4</v>
      </c>
      <c r="E921" s="15" t="n">
        <v>142</v>
      </c>
      <c r="F921" s="5" t="inlineStr">
        <is>
          <t>нет</t>
        </is>
      </c>
      <c r="G921" s="7" t="n"/>
      <c r="H921">
        <f>VLOOKUP(C921,Автомобили!$A$2:$G$1000,3,0)</f>
        <v/>
      </c>
      <c r="I921">
        <f>VLOOKUP(D921,Клиенты!$A$2:$D$1000,2,0)</f>
        <v/>
      </c>
      <c r="J921">
        <f>IF(AND(H921="Kaptur",I921="Окраинов Л.Г.",YEAR(B921)=2020),E921,0)</f>
        <v/>
      </c>
    </row>
    <row r="922">
      <c r="A922" s="6" t="n">
        <v>921</v>
      </c>
      <c r="B922" s="13" t="n">
        <v>44061</v>
      </c>
      <c r="C922" s="6" t="inlineStr">
        <is>
          <t>A65</t>
        </is>
      </c>
      <c r="D922" s="6" t="n">
        <v>6</v>
      </c>
      <c r="E922" s="15" t="n">
        <v>120</v>
      </c>
      <c r="F922" s="5" t="inlineStr">
        <is>
          <t>нет</t>
        </is>
      </c>
      <c r="G922" s="7" t="n"/>
      <c r="H922">
        <f>VLOOKUP(C922,Автомобили!$A$2:$G$1000,3,0)</f>
        <v/>
      </c>
      <c r="I922">
        <f>VLOOKUP(D922,Клиенты!$A$2:$D$1000,2,0)</f>
        <v/>
      </c>
      <c r="J922">
        <f>IF(AND(H922="Kaptur",I922="Окраинов Л.Г.",YEAR(B922)=2020),E922,0)</f>
        <v/>
      </c>
    </row>
    <row r="923">
      <c r="A923" s="6" t="n">
        <v>922</v>
      </c>
      <c r="B923" s="13" t="n">
        <v>44061</v>
      </c>
      <c r="C923" s="6" t="inlineStr">
        <is>
          <t>A29</t>
        </is>
      </c>
      <c r="D923" s="6" t="n">
        <v>1</v>
      </c>
      <c r="E923" s="15" t="n">
        <v>348</v>
      </c>
      <c r="F923" s="5" t="inlineStr">
        <is>
          <t>нет</t>
        </is>
      </c>
      <c r="G923" s="7" t="n"/>
      <c r="H923">
        <f>VLOOKUP(C923,Автомобили!$A$2:$G$1000,3,0)</f>
        <v/>
      </c>
      <c r="I923">
        <f>VLOOKUP(D923,Клиенты!$A$2:$D$1000,2,0)</f>
        <v/>
      </c>
      <c r="J923">
        <f>IF(AND(H923="Kaptur",I923="Окраинов Л.Г.",YEAR(B923)=2020),E923,0)</f>
        <v/>
      </c>
    </row>
    <row r="924">
      <c r="A924" s="6" t="n">
        <v>923</v>
      </c>
      <c r="B924" s="13" t="n">
        <v>44061</v>
      </c>
      <c r="C924" s="6" t="inlineStr">
        <is>
          <t>A35</t>
        </is>
      </c>
      <c r="D924" s="6" t="n">
        <v>4</v>
      </c>
      <c r="E924" s="15" t="n">
        <v>370</v>
      </c>
      <c r="F924" s="5" t="inlineStr">
        <is>
          <t>нет</t>
        </is>
      </c>
      <c r="G924" s="7" t="n"/>
      <c r="H924">
        <f>VLOOKUP(C924,Автомобили!$A$2:$G$1000,3,0)</f>
        <v/>
      </c>
      <c r="I924">
        <f>VLOOKUP(D924,Клиенты!$A$2:$D$1000,2,0)</f>
        <v/>
      </c>
      <c r="J924">
        <f>IF(AND(H924="Kaptur",I924="Окраинов Л.Г.",YEAR(B924)=2020),E924,0)</f>
        <v/>
      </c>
    </row>
    <row r="925">
      <c r="A925" s="6" t="n">
        <v>924</v>
      </c>
      <c r="B925" s="13" t="n">
        <v>44061</v>
      </c>
      <c r="C925" s="6" t="inlineStr">
        <is>
          <t>A42</t>
        </is>
      </c>
      <c r="D925" s="6" t="n">
        <v>8</v>
      </c>
      <c r="E925" s="15" t="n">
        <v>308</v>
      </c>
      <c r="F925" s="5" t="inlineStr">
        <is>
          <t>нет</t>
        </is>
      </c>
      <c r="G925" s="7" t="n"/>
      <c r="H925">
        <f>VLOOKUP(C925,Автомобили!$A$2:$G$1000,3,0)</f>
        <v/>
      </c>
      <c r="I925">
        <f>VLOOKUP(D925,Клиенты!$A$2:$D$1000,2,0)</f>
        <v/>
      </c>
      <c r="J925">
        <f>IF(AND(H925="Kaptur",I925="Окраинов Л.Г.",YEAR(B925)=2020),E925,0)</f>
        <v/>
      </c>
    </row>
    <row r="926">
      <c r="A926" s="6" t="n">
        <v>925</v>
      </c>
      <c r="B926" s="13" t="n">
        <v>44062</v>
      </c>
      <c r="C926" s="6" t="inlineStr">
        <is>
          <t>A29</t>
        </is>
      </c>
      <c r="D926" s="6" t="n">
        <v>12</v>
      </c>
      <c r="E926" s="15" t="n">
        <v>397</v>
      </c>
      <c r="F926" s="5" t="inlineStr">
        <is>
          <t>нет</t>
        </is>
      </c>
      <c r="G926" s="7" t="n"/>
      <c r="H926">
        <f>VLOOKUP(C926,Автомобили!$A$2:$G$1000,3,0)</f>
        <v/>
      </c>
      <c r="I926">
        <f>VLOOKUP(D926,Клиенты!$A$2:$D$1000,2,0)</f>
        <v/>
      </c>
      <c r="J926">
        <f>IF(AND(H926="Kaptur",I926="Окраинов Л.Г.",YEAR(B926)=2020),E926,0)</f>
        <v/>
      </c>
    </row>
    <row r="927">
      <c r="A927" s="6" t="n">
        <v>926</v>
      </c>
      <c r="B927" s="13" t="n">
        <v>44062</v>
      </c>
      <c r="C927" s="6" t="inlineStr">
        <is>
          <t>A56</t>
        </is>
      </c>
      <c r="D927" s="6" t="n">
        <v>1</v>
      </c>
      <c r="E927" s="15" t="n">
        <v>432</v>
      </c>
      <c r="F927" s="5" t="inlineStr">
        <is>
          <t>нет</t>
        </is>
      </c>
      <c r="G927" s="7" t="n"/>
      <c r="H927">
        <f>VLOOKUP(C927,Автомобили!$A$2:$G$1000,3,0)</f>
        <v/>
      </c>
      <c r="I927">
        <f>VLOOKUP(D927,Клиенты!$A$2:$D$1000,2,0)</f>
        <v/>
      </c>
      <c r="J927">
        <f>IF(AND(H927="Kaptur",I927="Окраинов Л.Г.",YEAR(B927)=2020),E927,0)</f>
        <v/>
      </c>
    </row>
    <row r="928">
      <c r="A928" s="6" t="n">
        <v>927</v>
      </c>
      <c r="B928" s="13" t="n">
        <v>44062</v>
      </c>
      <c r="C928" s="6" t="inlineStr">
        <is>
          <t>A11</t>
        </is>
      </c>
      <c r="D928" s="6" t="n">
        <v>5</v>
      </c>
      <c r="E928" s="15" t="n">
        <v>347</v>
      </c>
      <c r="F928" s="5" t="inlineStr">
        <is>
          <t>нет</t>
        </is>
      </c>
      <c r="G928" s="7" t="n"/>
      <c r="H928">
        <f>VLOOKUP(C928,Автомобили!$A$2:$G$1000,3,0)</f>
        <v/>
      </c>
      <c r="I928">
        <f>VLOOKUP(D928,Клиенты!$A$2:$D$1000,2,0)</f>
        <v/>
      </c>
      <c r="J928">
        <f>IF(AND(H928="Kaptur",I928="Окраинов Л.Г.",YEAR(B928)=2020),E928,0)</f>
        <v/>
      </c>
    </row>
    <row r="929">
      <c r="A929" s="6" t="n">
        <v>928</v>
      </c>
      <c r="B929" s="13" t="n">
        <v>44062</v>
      </c>
      <c r="C929" s="6" t="inlineStr">
        <is>
          <t>A43</t>
        </is>
      </c>
      <c r="D929" s="6" t="n">
        <v>1</v>
      </c>
      <c r="E929" s="15" t="n">
        <v>270</v>
      </c>
      <c r="F929" s="5" t="inlineStr">
        <is>
          <t>нет</t>
        </is>
      </c>
      <c r="G929" s="7" t="n"/>
      <c r="H929">
        <f>VLOOKUP(C929,Автомобили!$A$2:$G$1000,3,0)</f>
        <v/>
      </c>
      <c r="I929">
        <f>VLOOKUP(D929,Клиенты!$A$2:$D$1000,2,0)</f>
        <v/>
      </c>
      <c r="J929">
        <f>IF(AND(H929="Kaptur",I929="Окраинов Л.Г.",YEAR(B929)=2020),E929,0)</f>
        <v/>
      </c>
    </row>
    <row r="930">
      <c r="A930" s="6" t="n">
        <v>929</v>
      </c>
      <c r="B930" s="13" t="n">
        <v>44063</v>
      </c>
      <c r="C930" s="6" t="inlineStr">
        <is>
          <t>A55</t>
        </is>
      </c>
      <c r="D930" s="6" t="n">
        <v>11</v>
      </c>
      <c r="E930" s="15" t="n">
        <v>392</v>
      </c>
      <c r="F930" s="5" t="inlineStr">
        <is>
          <t>нет</t>
        </is>
      </c>
      <c r="G930" s="7" t="n"/>
      <c r="H930">
        <f>VLOOKUP(C930,Автомобили!$A$2:$G$1000,3,0)</f>
        <v/>
      </c>
      <c r="I930">
        <f>VLOOKUP(D930,Клиенты!$A$2:$D$1000,2,0)</f>
        <v/>
      </c>
      <c r="J930">
        <f>IF(AND(H930="Kaptur",I930="Окраинов Л.Г.",YEAR(B930)=2020),E930,0)</f>
        <v/>
      </c>
    </row>
    <row r="931">
      <c r="A931" s="6" t="n">
        <v>930</v>
      </c>
      <c r="B931" s="13" t="n">
        <v>44063</v>
      </c>
      <c r="C931" s="6" t="inlineStr">
        <is>
          <t>A17</t>
        </is>
      </c>
      <c r="D931" s="6" t="n">
        <v>13</v>
      </c>
      <c r="E931" s="15" t="n">
        <v>437</v>
      </c>
      <c r="F931" s="5" t="inlineStr">
        <is>
          <t>нет</t>
        </is>
      </c>
      <c r="G931" s="7" t="n"/>
      <c r="H931">
        <f>VLOOKUP(C931,Автомобили!$A$2:$G$1000,3,0)</f>
        <v/>
      </c>
      <c r="I931">
        <f>VLOOKUP(D931,Клиенты!$A$2:$D$1000,2,0)</f>
        <v/>
      </c>
      <c r="J931">
        <f>IF(AND(H931="Kaptur",I931="Окраинов Л.Г.",YEAR(B931)=2020),E931,0)</f>
        <v/>
      </c>
    </row>
    <row r="932">
      <c r="A932" s="6" t="n">
        <v>931</v>
      </c>
      <c r="B932" s="13" t="n">
        <v>44063</v>
      </c>
      <c r="C932" s="6" t="inlineStr">
        <is>
          <t>A22</t>
        </is>
      </c>
      <c r="D932" s="6" t="n">
        <v>14</v>
      </c>
      <c r="E932" s="15" t="n">
        <v>360</v>
      </c>
      <c r="F932" s="5" t="inlineStr">
        <is>
          <t>нет</t>
        </is>
      </c>
      <c r="G932" s="7" t="n"/>
      <c r="H932">
        <f>VLOOKUP(C932,Автомобили!$A$2:$G$1000,3,0)</f>
        <v/>
      </c>
      <c r="I932">
        <f>VLOOKUP(D932,Клиенты!$A$2:$D$1000,2,0)</f>
        <v/>
      </c>
      <c r="J932">
        <f>IF(AND(H932="Kaptur",I932="Окраинов Л.Г.",YEAR(B932)=2020),E932,0)</f>
        <v/>
      </c>
    </row>
    <row r="933">
      <c r="A933" s="6" t="n">
        <v>932</v>
      </c>
      <c r="B933" s="13" t="n">
        <v>44063</v>
      </c>
      <c r="C933" s="6" t="inlineStr">
        <is>
          <t>A14</t>
        </is>
      </c>
      <c r="D933" s="6" t="n">
        <v>2</v>
      </c>
      <c r="E933" s="15" t="n">
        <v>212</v>
      </c>
      <c r="F933" s="5" t="inlineStr">
        <is>
          <t>нет</t>
        </is>
      </c>
      <c r="G933" s="7" t="n"/>
      <c r="H933">
        <f>VLOOKUP(C933,Автомобили!$A$2:$G$1000,3,0)</f>
        <v/>
      </c>
      <c r="I933">
        <f>VLOOKUP(D933,Клиенты!$A$2:$D$1000,2,0)</f>
        <v/>
      </c>
      <c r="J933">
        <f>IF(AND(H933="Kaptur",I933="Окраинов Л.Г.",YEAR(B933)=2020),E933,0)</f>
        <v/>
      </c>
    </row>
    <row r="934">
      <c r="A934" s="6" t="n">
        <v>933</v>
      </c>
      <c r="B934" s="13" t="n">
        <v>44064</v>
      </c>
      <c r="C934" s="6" t="inlineStr">
        <is>
          <t>A42</t>
        </is>
      </c>
      <c r="D934" s="6" t="n">
        <v>10</v>
      </c>
      <c r="E934" s="15" t="n">
        <v>396</v>
      </c>
      <c r="F934" s="5" t="inlineStr">
        <is>
          <t>нет</t>
        </is>
      </c>
      <c r="G934" s="7" t="n"/>
      <c r="H934">
        <f>VLOOKUP(C934,Автомобили!$A$2:$G$1000,3,0)</f>
        <v/>
      </c>
      <c r="I934">
        <f>VLOOKUP(D934,Клиенты!$A$2:$D$1000,2,0)</f>
        <v/>
      </c>
      <c r="J934">
        <f>IF(AND(H934="Kaptur",I934="Окраинов Л.Г.",YEAR(B934)=2020),E934,0)</f>
        <v/>
      </c>
    </row>
    <row r="935">
      <c r="A935" s="6" t="n">
        <v>934</v>
      </c>
      <c r="B935" s="13" t="n">
        <v>44064</v>
      </c>
      <c r="C935" s="6" t="inlineStr">
        <is>
          <t>A53</t>
        </is>
      </c>
      <c r="D935" s="6" t="n">
        <v>9</v>
      </c>
      <c r="E935" s="15" t="n">
        <v>437</v>
      </c>
      <c r="F935" s="5" t="inlineStr">
        <is>
          <t>нет</t>
        </is>
      </c>
      <c r="G935" s="7" t="n"/>
      <c r="H935">
        <f>VLOOKUP(C935,Автомобили!$A$2:$G$1000,3,0)</f>
        <v/>
      </c>
      <c r="I935">
        <f>VLOOKUP(D935,Клиенты!$A$2:$D$1000,2,0)</f>
        <v/>
      </c>
      <c r="J935">
        <f>IF(AND(H935="Kaptur",I935="Окраинов Л.Г.",YEAR(B935)=2020),E935,0)</f>
        <v/>
      </c>
    </row>
    <row r="936">
      <c r="A936" s="6" t="n">
        <v>935</v>
      </c>
      <c r="B936" s="13" t="n">
        <v>44064</v>
      </c>
      <c r="C936" s="6" t="inlineStr">
        <is>
          <t>A23</t>
        </is>
      </c>
      <c r="D936" s="6" t="n">
        <v>4</v>
      </c>
      <c r="E936" s="15" t="n">
        <v>291</v>
      </c>
      <c r="F936" s="5" t="inlineStr">
        <is>
          <t>нет</t>
        </is>
      </c>
      <c r="G936" s="7" t="n"/>
      <c r="H936">
        <f>VLOOKUP(C936,Автомобили!$A$2:$G$1000,3,0)</f>
        <v/>
      </c>
      <c r="I936">
        <f>VLOOKUP(D936,Клиенты!$A$2:$D$1000,2,0)</f>
        <v/>
      </c>
      <c r="J936">
        <f>IF(AND(H936="Kaptur",I936="Окраинов Л.Г.",YEAR(B936)=2020),E936,0)</f>
        <v/>
      </c>
    </row>
    <row r="937">
      <c r="A937" s="6" t="n">
        <v>936</v>
      </c>
      <c r="B937" s="13" t="n">
        <v>44064</v>
      </c>
      <c r="C937" s="6" t="inlineStr">
        <is>
          <t>A18</t>
        </is>
      </c>
      <c r="D937" s="6" t="n">
        <v>3</v>
      </c>
      <c r="E937" s="15" t="n">
        <v>120</v>
      </c>
      <c r="F937" s="5" t="inlineStr">
        <is>
          <t>нет</t>
        </is>
      </c>
      <c r="G937" s="7" t="n"/>
      <c r="H937">
        <f>VLOOKUP(C937,Автомобили!$A$2:$G$1000,3,0)</f>
        <v/>
      </c>
      <c r="I937">
        <f>VLOOKUP(D937,Клиенты!$A$2:$D$1000,2,0)</f>
        <v/>
      </c>
      <c r="J937">
        <f>IF(AND(H937="Kaptur",I937="Окраинов Л.Г.",YEAR(B937)=2020),E937,0)</f>
        <v/>
      </c>
    </row>
    <row r="938">
      <c r="A938" s="6" t="n">
        <v>937</v>
      </c>
      <c r="B938" s="13" t="n">
        <v>44065</v>
      </c>
      <c r="C938" s="6" t="inlineStr">
        <is>
          <t>A45</t>
        </is>
      </c>
      <c r="D938" s="6" t="n">
        <v>12</v>
      </c>
      <c r="E938" s="15" t="n">
        <v>302</v>
      </c>
      <c r="F938" s="5" t="inlineStr">
        <is>
          <t>нет</t>
        </is>
      </c>
      <c r="G938" s="7" t="n"/>
      <c r="H938">
        <f>VLOOKUP(C938,Автомобили!$A$2:$G$1000,3,0)</f>
        <v/>
      </c>
      <c r="I938">
        <f>VLOOKUP(D938,Клиенты!$A$2:$D$1000,2,0)</f>
        <v/>
      </c>
      <c r="J938">
        <f>IF(AND(H938="Kaptur",I938="Окраинов Л.Г.",YEAR(B938)=2020),E938,0)</f>
        <v/>
      </c>
    </row>
    <row r="939">
      <c r="A939" s="6" t="n">
        <v>938</v>
      </c>
      <c r="B939" s="13" t="n">
        <v>44065</v>
      </c>
      <c r="C939" s="6" t="inlineStr">
        <is>
          <t>A11</t>
        </is>
      </c>
      <c r="D939" s="6" t="n">
        <v>6</v>
      </c>
      <c r="E939" s="15" t="n">
        <v>292</v>
      </c>
      <c r="F939" s="5" t="inlineStr">
        <is>
          <t>нет</t>
        </is>
      </c>
      <c r="G939" s="7" t="n"/>
      <c r="H939">
        <f>VLOOKUP(C939,Автомобили!$A$2:$G$1000,3,0)</f>
        <v/>
      </c>
      <c r="I939">
        <f>VLOOKUP(D939,Клиенты!$A$2:$D$1000,2,0)</f>
        <v/>
      </c>
      <c r="J939">
        <f>IF(AND(H939="Kaptur",I939="Окраинов Л.Г.",YEAR(B939)=2020),E939,0)</f>
        <v/>
      </c>
    </row>
    <row r="940">
      <c r="A940" s="6" t="n">
        <v>939</v>
      </c>
      <c r="B940" s="13" t="n">
        <v>44065</v>
      </c>
      <c r="C940" s="6" t="inlineStr">
        <is>
          <t>A4</t>
        </is>
      </c>
      <c r="D940" s="6" t="n">
        <v>5</v>
      </c>
      <c r="E940" s="15" t="n">
        <v>72</v>
      </c>
      <c r="F940" s="5" t="inlineStr">
        <is>
          <t>нет</t>
        </is>
      </c>
      <c r="G940" s="7" t="n"/>
      <c r="H940">
        <f>VLOOKUP(C940,Автомобили!$A$2:$G$1000,3,0)</f>
        <v/>
      </c>
      <c r="I940">
        <f>VLOOKUP(D940,Клиенты!$A$2:$D$1000,2,0)</f>
        <v/>
      </c>
      <c r="J940">
        <f>IF(AND(H940="Kaptur",I940="Окраинов Л.Г.",YEAR(B940)=2020),E940,0)</f>
        <v/>
      </c>
    </row>
    <row r="941">
      <c r="A941" s="6" t="n">
        <v>940</v>
      </c>
      <c r="B941" s="13" t="n">
        <v>44065</v>
      </c>
      <c r="C941" s="6" t="inlineStr">
        <is>
          <t>A60</t>
        </is>
      </c>
      <c r="D941" s="6" t="n">
        <v>4</v>
      </c>
      <c r="E941" s="15" t="n">
        <v>281</v>
      </c>
      <c r="F941" s="5" t="inlineStr">
        <is>
          <t>нет</t>
        </is>
      </c>
      <c r="G941" s="7" t="n"/>
      <c r="H941">
        <f>VLOOKUP(C941,Автомобили!$A$2:$G$1000,3,0)</f>
        <v/>
      </c>
      <c r="I941">
        <f>VLOOKUP(D941,Клиенты!$A$2:$D$1000,2,0)</f>
        <v/>
      </c>
      <c r="J941">
        <f>IF(AND(H941="Kaptur",I941="Окраинов Л.Г.",YEAR(B941)=2020),E941,0)</f>
        <v/>
      </c>
    </row>
    <row r="942">
      <c r="A942" s="6" t="n">
        <v>941</v>
      </c>
      <c r="B942" s="13" t="n">
        <v>44066</v>
      </c>
      <c r="C942" s="6" t="inlineStr">
        <is>
          <t>A4</t>
        </is>
      </c>
      <c r="D942" s="6" t="n">
        <v>15</v>
      </c>
      <c r="E942" s="15" t="n">
        <v>164</v>
      </c>
      <c r="F942" s="5" t="inlineStr">
        <is>
          <t>нет</t>
        </is>
      </c>
      <c r="G942" s="7" t="n"/>
      <c r="H942">
        <f>VLOOKUP(C942,Автомобили!$A$2:$G$1000,3,0)</f>
        <v/>
      </c>
      <c r="I942">
        <f>VLOOKUP(D942,Клиенты!$A$2:$D$1000,2,0)</f>
        <v/>
      </c>
      <c r="J942">
        <f>IF(AND(H942="Kaptur",I942="Окраинов Л.Г.",YEAR(B942)=2020),E942,0)</f>
        <v/>
      </c>
    </row>
    <row r="943">
      <c r="A943" s="6" t="n">
        <v>942</v>
      </c>
      <c r="B943" s="13" t="n">
        <v>44066</v>
      </c>
      <c r="C943" s="6" t="inlineStr">
        <is>
          <t>A49</t>
        </is>
      </c>
      <c r="D943" s="6" t="n">
        <v>3</v>
      </c>
      <c r="E943" s="15" t="n">
        <v>201</v>
      </c>
      <c r="F943" s="5" t="inlineStr">
        <is>
          <t>нет</t>
        </is>
      </c>
      <c r="G943" s="7" t="n"/>
      <c r="H943">
        <f>VLOOKUP(C943,Автомобили!$A$2:$G$1000,3,0)</f>
        <v/>
      </c>
      <c r="I943">
        <f>VLOOKUP(D943,Клиенты!$A$2:$D$1000,2,0)</f>
        <v/>
      </c>
      <c r="J943">
        <f>IF(AND(H943="Kaptur",I943="Окраинов Л.Г.",YEAR(B943)=2020),E943,0)</f>
        <v/>
      </c>
    </row>
    <row r="944">
      <c r="A944" s="6" t="n">
        <v>943</v>
      </c>
      <c r="B944" s="13" t="n">
        <v>44066</v>
      </c>
      <c r="C944" s="6" t="inlineStr">
        <is>
          <t>A63</t>
        </is>
      </c>
      <c r="D944" s="6" t="n">
        <v>10</v>
      </c>
      <c r="E944" s="15" t="n">
        <v>163</v>
      </c>
      <c r="F944" s="5" t="inlineStr">
        <is>
          <t>нет</t>
        </is>
      </c>
      <c r="G944" s="7" t="n"/>
      <c r="H944">
        <f>VLOOKUP(C944,Автомобили!$A$2:$G$1000,3,0)</f>
        <v/>
      </c>
      <c r="I944">
        <f>VLOOKUP(D944,Клиенты!$A$2:$D$1000,2,0)</f>
        <v/>
      </c>
      <c r="J944">
        <f>IF(AND(H944="Kaptur",I944="Окраинов Л.Г.",YEAR(B944)=2020),E944,0)</f>
        <v/>
      </c>
    </row>
    <row r="945">
      <c r="A945" s="6" t="n">
        <v>944</v>
      </c>
      <c r="B945" s="13" t="n">
        <v>44066</v>
      </c>
      <c r="C945" s="6" t="inlineStr">
        <is>
          <t>A1</t>
        </is>
      </c>
      <c r="D945" s="6" t="n">
        <v>5</v>
      </c>
      <c r="E945" s="15" t="n">
        <v>431</v>
      </c>
      <c r="F945" s="5" t="inlineStr">
        <is>
          <t>нет</t>
        </is>
      </c>
      <c r="G945" s="7" t="n"/>
      <c r="H945">
        <f>VLOOKUP(C945,Автомобили!$A$2:$G$1000,3,0)</f>
        <v/>
      </c>
      <c r="I945">
        <f>VLOOKUP(D945,Клиенты!$A$2:$D$1000,2,0)</f>
        <v/>
      </c>
      <c r="J945">
        <f>IF(AND(H945="Kaptur",I945="Окраинов Л.Г.",YEAR(B945)=2020),E945,0)</f>
        <v/>
      </c>
    </row>
    <row r="946">
      <c r="A946" s="6" t="n">
        <v>945</v>
      </c>
      <c r="B946" s="13" t="n">
        <v>44067</v>
      </c>
      <c r="C946" s="6" t="inlineStr">
        <is>
          <t>A18</t>
        </is>
      </c>
      <c r="D946" s="6" t="n">
        <v>12</v>
      </c>
      <c r="E946" s="15" t="n">
        <v>250</v>
      </c>
      <c r="F946" s="5" t="inlineStr">
        <is>
          <t>нет</t>
        </is>
      </c>
      <c r="G946" s="7" t="n"/>
      <c r="H946">
        <f>VLOOKUP(C946,Автомобили!$A$2:$G$1000,3,0)</f>
        <v/>
      </c>
      <c r="I946">
        <f>VLOOKUP(D946,Клиенты!$A$2:$D$1000,2,0)</f>
        <v/>
      </c>
      <c r="J946">
        <f>IF(AND(H946="Kaptur",I946="Окраинов Л.Г.",YEAR(B946)=2020),E946,0)</f>
        <v/>
      </c>
    </row>
    <row r="947">
      <c r="A947" s="6" t="n">
        <v>946</v>
      </c>
      <c r="B947" s="13" t="n">
        <v>44067</v>
      </c>
      <c r="C947" s="6" t="inlineStr">
        <is>
          <t>A15</t>
        </is>
      </c>
      <c r="D947" s="6" t="n">
        <v>10</v>
      </c>
      <c r="E947" s="15" t="n">
        <v>307</v>
      </c>
      <c r="F947" s="5" t="inlineStr">
        <is>
          <t>нет</t>
        </is>
      </c>
      <c r="G947" s="7" t="n"/>
      <c r="H947">
        <f>VLOOKUP(C947,Автомобили!$A$2:$G$1000,3,0)</f>
        <v/>
      </c>
      <c r="I947">
        <f>VLOOKUP(D947,Клиенты!$A$2:$D$1000,2,0)</f>
        <v/>
      </c>
      <c r="J947">
        <f>IF(AND(H947="Kaptur",I947="Окраинов Л.Г.",YEAR(B947)=2020),E947,0)</f>
        <v/>
      </c>
    </row>
    <row r="948">
      <c r="A948" s="6" t="n">
        <v>947</v>
      </c>
      <c r="B948" s="13" t="n">
        <v>44067</v>
      </c>
      <c r="C948" s="6" t="inlineStr">
        <is>
          <t>A64</t>
        </is>
      </c>
      <c r="D948" s="6" t="n">
        <v>5</v>
      </c>
      <c r="E948" s="15" t="n">
        <v>140</v>
      </c>
      <c r="F948" s="5" t="inlineStr">
        <is>
          <t>нет</t>
        </is>
      </c>
      <c r="G948" s="7" t="n"/>
      <c r="H948">
        <f>VLOOKUP(C948,Автомобили!$A$2:$G$1000,3,0)</f>
        <v/>
      </c>
      <c r="I948">
        <f>VLOOKUP(D948,Клиенты!$A$2:$D$1000,2,0)</f>
        <v/>
      </c>
      <c r="J948">
        <f>IF(AND(H948="Kaptur",I948="Окраинов Л.Г.",YEAR(B948)=2020),E948,0)</f>
        <v/>
      </c>
    </row>
    <row r="949">
      <c r="A949" s="6" t="n">
        <v>948</v>
      </c>
      <c r="B949" s="13" t="n">
        <v>44067</v>
      </c>
      <c r="C949" s="6" t="inlineStr">
        <is>
          <t>A24</t>
        </is>
      </c>
      <c r="D949" s="6" t="n">
        <v>3</v>
      </c>
      <c r="E949" s="15" t="n">
        <v>394</v>
      </c>
      <c r="F949" s="5" t="inlineStr">
        <is>
          <t>нет</t>
        </is>
      </c>
      <c r="G949" s="7" t="n"/>
      <c r="H949">
        <f>VLOOKUP(C949,Автомобили!$A$2:$G$1000,3,0)</f>
        <v/>
      </c>
      <c r="I949">
        <f>VLOOKUP(D949,Клиенты!$A$2:$D$1000,2,0)</f>
        <v/>
      </c>
      <c r="J949">
        <f>IF(AND(H949="Kaptur",I949="Окраинов Л.Г.",YEAR(B949)=2020),E949,0)</f>
        <v/>
      </c>
    </row>
    <row r="950">
      <c r="A950" s="6" t="n">
        <v>949</v>
      </c>
      <c r="B950" s="13" t="n">
        <v>44068</v>
      </c>
      <c r="C950" s="6" t="inlineStr">
        <is>
          <t>A13</t>
        </is>
      </c>
      <c r="D950" s="6" t="n">
        <v>10</v>
      </c>
      <c r="E950" s="15" t="n">
        <v>349</v>
      </c>
      <c r="F950" s="5" t="inlineStr">
        <is>
          <t>нет</t>
        </is>
      </c>
      <c r="G950" s="7" t="n"/>
      <c r="H950">
        <f>VLOOKUP(C950,Автомобили!$A$2:$G$1000,3,0)</f>
        <v/>
      </c>
      <c r="I950">
        <f>VLOOKUP(D950,Клиенты!$A$2:$D$1000,2,0)</f>
        <v/>
      </c>
      <c r="J950">
        <f>IF(AND(H950="Kaptur",I950="Окраинов Л.Г.",YEAR(B950)=2020),E950,0)</f>
        <v/>
      </c>
    </row>
    <row r="951">
      <c r="A951" s="6" t="n">
        <v>950</v>
      </c>
      <c r="B951" s="13" t="n">
        <v>44068</v>
      </c>
      <c r="C951" s="6" t="inlineStr">
        <is>
          <t>A62</t>
        </is>
      </c>
      <c r="D951" s="6" t="n">
        <v>12</v>
      </c>
      <c r="E951" s="15" t="n">
        <v>333</v>
      </c>
      <c r="F951" s="5" t="inlineStr">
        <is>
          <t>нет</t>
        </is>
      </c>
      <c r="G951" s="7" t="n"/>
      <c r="H951">
        <f>VLOOKUP(C951,Автомобили!$A$2:$G$1000,3,0)</f>
        <v/>
      </c>
      <c r="I951">
        <f>VLOOKUP(D951,Клиенты!$A$2:$D$1000,2,0)</f>
        <v/>
      </c>
      <c r="J951">
        <f>IF(AND(H951="Kaptur",I951="Окраинов Л.Г.",YEAR(B951)=2020),E951,0)</f>
        <v/>
      </c>
    </row>
    <row r="952">
      <c r="A952" s="6" t="n">
        <v>951</v>
      </c>
      <c r="B952" s="13" t="n">
        <v>44068</v>
      </c>
      <c r="C952" s="6" t="inlineStr">
        <is>
          <t>A21</t>
        </is>
      </c>
      <c r="D952" s="6" t="n">
        <v>11</v>
      </c>
      <c r="E952" s="15" t="n">
        <v>309</v>
      </c>
      <c r="F952" s="5" t="inlineStr">
        <is>
          <t>нет</t>
        </is>
      </c>
      <c r="G952" s="7" t="n"/>
      <c r="H952">
        <f>VLOOKUP(C952,Автомобили!$A$2:$G$1000,3,0)</f>
        <v/>
      </c>
      <c r="I952">
        <f>VLOOKUP(D952,Клиенты!$A$2:$D$1000,2,0)</f>
        <v/>
      </c>
      <c r="J952">
        <f>IF(AND(H952="Kaptur",I952="Окраинов Л.Г.",YEAR(B952)=2020),E952,0)</f>
        <v/>
      </c>
    </row>
    <row r="953">
      <c r="A953" s="6" t="n">
        <v>952</v>
      </c>
      <c r="B953" s="13" t="n">
        <v>44068</v>
      </c>
      <c r="C953" s="6" t="inlineStr">
        <is>
          <t>A13</t>
        </is>
      </c>
      <c r="D953" s="6" t="n">
        <v>5</v>
      </c>
      <c r="E953" s="15" t="n">
        <v>277</v>
      </c>
      <c r="F953" s="5" t="inlineStr">
        <is>
          <t>нет</t>
        </is>
      </c>
      <c r="G953" s="7" t="n"/>
      <c r="H953">
        <f>VLOOKUP(C953,Автомобили!$A$2:$G$1000,3,0)</f>
        <v/>
      </c>
      <c r="I953">
        <f>VLOOKUP(D953,Клиенты!$A$2:$D$1000,2,0)</f>
        <v/>
      </c>
      <c r="J953">
        <f>IF(AND(H953="Kaptur",I953="Окраинов Л.Г.",YEAR(B953)=2020),E953,0)</f>
        <v/>
      </c>
    </row>
    <row r="954">
      <c r="A954" s="6" t="n">
        <v>953</v>
      </c>
      <c r="B954" s="13" t="n">
        <v>44069</v>
      </c>
      <c r="C954" s="6" t="inlineStr">
        <is>
          <t>A54</t>
        </is>
      </c>
      <c r="D954" s="6" t="n">
        <v>14</v>
      </c>
      <c r="E954" s="15" t="n">
        <v>79</v>
      </c>
      <c r="F954" s="5" t="inlineStr">
        <is>
          <t>нет</t>
        </is>
      </c>
      <c r="G954" s="7" t="n"/>
      <c r="H954">
        <f>VLOOKUP(C954,Автомобили!$A$2:$G$1000,3,0)</f>
        <v/>
      </c>
      <c r="I954">
        <f>VLOOKUP(D954,Клиенты!$A$2:$D$1000,2,0)</f>
        <v/>
      </c>
      <c r="J954">
        <f>IF(AND(H954="Kaptur",I954="Окраинов Л.Г.",YEAR(B954)=2020),E954,0)</f>
        <v/>
      </c>
    </row>
    <row r="955">
      <c r="A955" s="6" t="n">
        <v>954</v>
      </c>
      <c r="B955" s="13" t="n">
        <v>44069</v>
      </c>
      <c r="C955" s="6" t="inlineStr">
        <is>
          <t>A52</t>
        </is>
      </c>
      <c r="D955" s="6" t="n">
        <v>2</v>
      </c>
      <c r="E955" s="15" t="n">
        <v>112</v>
      </c>
      <c r="F955" s="5" t="inlineStr">
        <is>
          <t>нет</t>
        </is>
      </c>
      <c r="G955" s="7" t="n"/>
      <c r="H955">
        <f>VLOOKUP(C955,Автомобили!$A$2:$G$1000,3,0)</f>
        <v/>
      </c>
      <c r="I955">
        <f>VLOOKUP(D955,Клиенты!$A$2:$D$1000,2,0)</f>
        <v/>
      </c>
      <c r="J955">
        <f>IF(AND(H955="Kaptur",I955="Окраинов Л.Г.",YEAR(B955)=2020),E955,0)</f>
        <v/>
      </c>
    </row>
    <row r="956">
      <c r="A956" s="6" t="n">
        <v>955</v>
      </c>
      <c r="B956" s="13" t="n">
        <v>44069</v>
      </c>
      <c r="C956" s="6" t="inlineStr">
        <is>
          <t>A65</t>
        </is>
      </c>
      <c r="D956" s="6" t="n">
        <v>11</v>
      </c>
      <c r="E956" s="15" t="n">
        <v>214</v>
      </c>
      <c r="F956" s="5" t="inlineStr">
        <is>
          <t>нет</t>
        </is>
      </c>
      <c r="G956" s="7" t="n"/>
      <c r="H956">
        <f>VLOOKUP(C956,Автомобили!$A$2:$G$1000,3,0)</f>
        <v/>
      </c>
      <c r="I956">
        <f>VLOOKUP(D956,Клиенты!$A$2:$D$1000,2,0)</f>
        <v/>
      </c>
      <c r="J956">
        <f>IF(AND(H956="Kaptur",I956="Окраинов Л.Г.",YEAR(B956)=2020),E956,0)</f>
        <v/>
      </c>
    </row>
    <row r="957">
      <c r="A957" s="6" t="n">
        <v>956</v>
      </c>
      <c r="B957" s="13" t="n">
        <v>44069</v>
      </c>
      <c r="C957" s="6" t="inlineStr">
        <is>
          <t>A54</t>
        </is>
      </c>
      <c r="D957" s="6" t="n">
        <v>3</v>
      </c>
      <c r="E957" s="15" t="n">
        <v>321</v>
      </c>
      <c r="F957" s="5" t="inlineStr">
        <is>
          <t>нет</t>
        </is>
      </c>
      <c r="G957" s="7" t="n"/>
      <c r="H957">
        <f>VLOOKUP(C957,Автомобили!$A$2:$G$1000,3,0)</f>
        <v/>
      </c>
      <c r="I957">
        <f>VLOOKUP(D957,Клиенты!$A$2:$D$1000,2,0)</f>
        <v/>
      </c>
      <c r="J957">
        <f>IF(AND(H957="Kaptur",I957="Окраинов Л.Г.",YEAR(B957)=2020),E957,0)</f>
        <v/>
      </c>
    </row>
    <row r="958">
      <c r="A958" s="6" t="n">
        <v>957</v>
      </c>
      <c r="B958" s="13" t="n">
        <v>44070</v>
      </c>
      <c r="C958" s="6" t="inlineStr">
        <is>
          <t>A14</t>
        </is>
      </c>
      <c r="D958" s="6" t="n">
        <v>5</v>
      </c>
      <c r="E958" s="15" t="n">
        <v>166</v>
      </c>
      <c r="F958" s="5" t="inlineStr">
        <is>
          <t>нет</t>
        </is>
      </c>
      <c r="G958" s="7" t="n"/>
      <c r="H958">
        <f>VLOOKUP(C958,Автомобили!$A$2:$G$1000,3,0)</f>
        <v/>
      </c>
      <c r="I958">
        <f>VLOOKUP(D958,Клиенты!$A$2:$D$1000,2,0)</f>
        <v/>
      </c>
      <c r="J958">
        <f>IF(AND(H958="Kaptur",I958="Окраинов Л.Г.",YEAR(B958)=2020),E958,0)</f>
        <v/>
      </c>
    </row>
    <row r="959">
      <c r="A959" s="6" t="n">
        <v>958</v>
      </c>
      <c r="B959" s="13" t="n">
        <v>44070</v>
      </c>
      <c r="C959" s="6" t="inlineStr">
        <is>
          <t>A27</t>
        </is>
      </c>
      <c r="D959" s="6" t="n">
        <v>9</v>
      </c>
      <c r="E959" s="15" t="n">
        <v>247</v>
      </c>
      <c r="F959" s="5" t="inlineStr">
        <is>
          <t>нет</t>
        </is>
      </c>
      <c r="G959" s="7" t="n"/>
      <c r="H959">
        <f>VLOOKUP(C959,Автомобили!$A$2:$G$1000,3,0)</f>
        <v/>
      </c>
      <c r="I959">
        <f>VLOOKUP(D959,Клиенты!$A$2:$D$1000,2,0)</f>
        <v/>
      </c>
      <c r="J959">
        <f>IF(AND(H959="Kaptur",I959="Окраинов Л.Г.",YEAR(B959)=2020),E959,0)</f>
        <v/>
      </c>
    </row>
    <row r="960">
      <c r="A960" s="6" t="n">
        <v>959</v>
      </c>
      <c r="B960" s="13" t="n">
        <v>44070</v>
      </c>
      <c r="C960" s="6" t="inlineStr">
        <is>
          <t>A51</t>
        </is>
      </c>
      <c r="D960" s="6" t="n">
        <v>11</v>
      </c>
      <c r="E960" s="15" t="n">
        <v>268</v>
      </c>
      <c r="F960" s="5" t="inlineStr">
        <is>
          <t>нет</t>
        </is>
      </c>
      <c r="G960" s="7" t="n"/>
      <c r="H960">
        <f>VLOOKUP(C960,Автомобили!$A$2:$G$1000,3,0)</f>
        <v/>
      </c>
      <c r="I960">
        <f>VLOOKUP(D960,Клиенты!$A$2:$D$1000,2,0)</f>
        <v/>
      </c>
      <c r="J960">
        <f>IF(AND(H960="Kaptur",I960="Окраинов Л.Г.",YEAR(B960)=2020),E960,0)</f>
        <v/>
      </c>
    </row>
    <row r="961">
      <c r="A961" s="6" t="n">
        <v>960</v>
      </c>
      <c r="B961" s="13" t="n">
        <v>44070</v>
      </c>
      <c r="C961" s="6" t="inlineStr">
        <is>
          <t>A10</t>
        </is>
      </c>
      <c r="D961" s="6" t="n">
        <v>1</v>
      </c>
      <c r="E961" s="15" t="n">
        <v>349</v>
      </c>
      <c r="F961" s="5" t="inlineStr">
        <is>
          <t>нет</t>
        </is>
      </c>
      <c r="G961" s="7" t="n"/>
      <c r="H961">
        <f>VLOOKUP(C961,Автомобили!$A$2:$G$1000,3,0)</f>
        <v/>
      </c>
      <c r="I961">
        <f>VLOOKUP(D961,Клиенты!$A$2:$D$1000,2,0)</f>
        <v/>
      </c>
      <c r="J961">
        <f>IF(AND(H961="Kaptur",I961="Окраинов Л.Г.",YEAR(B961)=2020),E961,0)</f>
        <v/>
      </c>
    </row>
    <row r="962">
      <c r="A962" s="6" t="n">
        <v>961</v>
      </c>
      <c r="B962" s="13" t="n">
        <v>44071</v>
      </c>
      <c r="C962" s="6" t="inlineStr">
        <is>
          <t>A58</t>
        </is>
      </c>
      <c r="D962" s="6" t="n">
        <v>6</v>
      </c>
      <c r="E962" s="15" t="n">
        <v>414</v>
      </c>
      <c r="F962" s="5" t="inlineStr">
        <is>
          <t>нет</t>
        </is>
      </c>
      <c r="G962" s="7" t="n"/>
      <c r="H962">
        <f>VLOOKUP(C962,Автомобили!$A$2:$G$1000,3,0)</f>
        <v/>
      </c>
      <c r="I962">
        <f>VLOOKUP(D962,Клиенты!$A$2:$D$1000,2,0)</f>
        <v/>
      </c>
      <c r="J962">
        <f>IF(AND(H962="Kaptur",I962="Окраинов Л.Г.",YEAR(B962)=2020),E962,0)</f>
        <v/>
      </c>
    </row>
    <row r="963">
      <c r="A963" s="6" t="n">
        <v>962</v>
      </c>
      <c r="B963" s="13" t="n">
        <v>44071</v>
      </c>
      <c r="C963" s="6" t="inlineStr">
        <is>
          <t>A30</t>
        </is>
      </c>
      <c r="D963" s="6" t="n">
        <v>3</v>
      </c>
      <c r="E963" s="15" t="n">
        <v>81</v>
      </c>
      <c r="F963" s="5" t="inlineStr">
        <is>
          <t>нет</t>
        </is>
      </c>
      <c r="G963" s="7" t="n"/>
      <c r="H963">
        <f>VLOOKUP(C963,Автомобили!$A$2:$G$1000,3,0)</f>
        <v/>
      </c>
      <c r="I963">
        <f>VLOOKUP(D963,Клиенты!$A$2:$D$1000,2,0)</f>
        <v/>
      </c>
      <c r="J963">
        <f>IF(AND(H963="Kaptur",I963="Окраинов Л.Г.",YEAR(B963)=2020),E963,0)</f>
        <v/>
      </c>
    </row>
    <row r="964">
      <c r="A964" s="6" t="n">
        <v>963</v>
      </c>
      <c r="B964" s="13" t="n">
        <v>44071</v>
      </c>
      <c r="C964" s="6" t="inlineStr">
        <is>
          <t>A60</t>
        </is>
      </c>
      <c r="D964" s="6" t="n">
        <v>12</v>
      </c>
      <c r="E964" s="15" t="n">
        <v>317</v>
      </c>
      <c r="F964" s="5" t="inlineStr">
        <is>
          <t>нет</t>
        </is>
      </c>
      <c r="G964" s="7" t="n"/>
      <c r="H964">
        <f>VLOOKUP(C964,Автомобили!$A$2:$G$1000,3,0)</f>
        <v/>
      </c>
      <c r="I964">
        <f>VLOOKUP(D964,Клиенты!$A$2:$D$1000,2,0)</f>
        <v/>
      </c>
      <c r="J964">
        <f>IF(AND(H964="Kaptur",I964="Окраинов Л.Г.",YEAR(B964)=2020),E964,0)</f>
        <v/>
      </c>
    </row>
    <row r="965">
      <c r="A965" s="6" t="n">
        <v>964</v>
      </c>
      <c r="B965" s="13" t="n">
        <v>44071</v>
      </c>
      <c r="C965" s="6" t="inlineStr">
        <is>
          <t>A51</t>
        </is>
      </c>
      <c r="D965" s="6" t="n">
        <v>13</v>
      </c>
      <c r="E965" s="15" t="n">
        <v>406</v>
      </c>
      <c r="F965" s="5" t="inlineStr">
        <is>
          <t>нет</t>
        </is>
      </c>
      <c r="G965" s="7" t="n"/>
      <c r="H965">
        <f>VLOOKUP(C965,Автомобили!$A$2:$G$1000,3,0)</f>
        <v/>
      </c>
      <c r="I965">
        <f>VLOOKUP(D965,Клиенты!$A$2:$D$1000,2,0)</f>
        <v/>
      </c>
      <c r="J965">
        <f>IF(AND(H965="Kaptur",I965="Окраинов Л.Г.",YEAR(B965)=2020),E965,0)</f>
        <v/>
      </c>
    </row>
    <row r="966">
      <c r="A966" s="6" t="n">
        <v>965</v>
      </c>
      <c r="B966" s="13" t="n">
        <v>44072</v>
      </c>
      <c r="C966" s="6" t="inlineStr">
        <is>
          <t>A44</t>
        </is>
      </c>
      <c r="D966" s="6" t="n">
        <v>6</v>
      </c>
      <c r="E966" s="15" t="n">
        <v>368</v>
      </c>
      <c r="F966" s="5" t="inlineStr">
        <is>
          <t>нет</t>
        </is>
      </c>
      <c r="G966" s="7" t="n"/>
      <c r="H966">
        <f>VLOOKUP(C966,Автомобили!$A$2:$G$1000,3,0)</f>
        <v/>
      </c>
      <c r="I966">
        <f>VLOOKUP(D966,Клиенты!$A$2:$D$1000,2,0)</f>
        <v/>
      </c>
      <c r="J966">
        <f>IF(AND(H966="Kaptur",I966="Окраинов Л.Г.",YEAR(B966)=2020),E966,0)</f>
        <v/>
      </c>
    </row>
    <row r="967">
      <c r="A967" s="6" t="n">
        <v>966</v>
      </c>
      <c r="B967" s="13" t="n">
        <v>44072</v>
      </c>
      <c r="C967" s="6" t="inlineStr">
        <is>
          <t>A39</t>
        </is>
      </c>
      <c r="D967" s="6" t="n">
        <v>15</v>
      </c>
      <c r="E967" s="15" t="n">
        <v>226</v>
      </c>
      <c r="F967" s="5" t="inlineStr">
        <is>
          <t>нет</t>
        </is>
      </c>
      <c r="G967" s="7" t="n"/>
      <c r="H967">
        <f>VLOOKUP(C967,Автомобили!$A$2:$G$1000,3,0)</f>
        <v/>
      </c>
      <c r="I967">
        <f>VLOOKUP(D967,Клиенты!$A$2:$D$1000,2,0)</f>
        <v/>
      </c>
      <c r="J967">
        <f>IF(AND(H967="Kaptur",I967="Окраинов Л.Г.",YEAR(B967)=2020),E967,0)</f>
        <v/>
      </c>
    </row>
    <row r="968">
      <c r="A968" s="6" t="n">
        <v>967</v>
      </c>
      <c r="B968" s="13" t="n">
        <v>44072</v>
      </c>
      <c r="C968" s="6" t="inlineStr">
        <is>
          <t>A12</t>
        </is>
      </c>
      <c r="D968" s="6" t="n">
        <v>1</v>
      </c>
      <c r="E968" s="15" t="n">
        <v>180</v>
      </c>
      <c r="F968" s="5" t="inlineStr">
        <is>
          <t>нет</t>
        </is>
      </c>
      <c r="G968" s="7" t="n"/>
      <c r="H968">
        <f>VLOOKUP(C968,Автомобили!$A$2:$G$1000,3,0)</f>
        <v/>
      </c>
      <c r="I968">
        <f>VLOOKUP(D968,Клиенты!$A$2:$D$1000,2,0)</f>
        <v/>
      </c>
      <c r="J968">
        <f>IF(AND(H968="Kaptur",I968="Окраинов Л.Г.",YEAR(B968)=2020),E968,0)</f>
        <v/>
      </c>
    </row>
    <row r="969">
      <c r="A969" s="6" t="n">
        <v>968</v>
      </c>
      <c r="B969" s="13" t="n">
        <v>44072</v>
      </c>
      <c r="C969" s="6" t="inlineStr">
        <is>
          <t>A33</t>
        </is>
      </c>
      <c r="D969" s="6" t="n">
        <v>6</v>
      </c>
      <c r="E969" s="15" t="n">
        <v>196</v>
      </c>
      <c r="F969" s="5" t="inlineStr">
        <is>
          <t>нет</t>
        </is>
      </c>
      <c r="G969" s="7" t="n"/>
      <c r="H969">
        <f>VLOOKUP(C969,Автомобили!$A$2:$G$1000,3,0)</f>
        <v/>
      </c>
      <c r="I969">
        <f>VLOOKUP(D969,Клиенты!$A$2:$D$1000,2,0)</f>
        <v/>
      </c>
      <c r="J969">
        <f>IF(AND(H969="Kaptur",I969="Окраинов Л.Г.",YEAR(B969)=2020),E969,0)</f>
        <v/>
      </c>
    </row>
    <row r="970">
      <c r="A970" s="6" t="n">
        <v>969</v>
      </c>
      <c r="B970" s="13" t="n">
        <v>44073</v>
      </c>
      <c r="C970" s="6" t="inlineStr">
        <is>
          <t>A32</t>
        </is>
      </c>
      <c r="D970" s="6" t="n">
        <v>7</v>
      </c>
      <c r="E970" s="15" t="n">
        <v>358</v>
      </c>
      <c r="F970" s="5" t="inlineStr">
        <is>
          <t>нет</t>
        </is>
      </c>
      <c r="G970" s="7" t="n"/>
      <c r="H970">
        <f>VLOOKUP(C970,Автомобили!$A$2:$G$1000,3,0)</f>
        <v/>
      </c>
      <c r="I970">
        <f>VLOOKUP(D970,Клиенты!$A$2:$D$1000,2,0)</f>
        <v/>
      </c>
      <c r="J970">
        <f>IF(AND(H970="Kaptur",I970="Окраинов Л.Г.",YEAR(B970)=2020),E970,0)</f>
        <v/>
      </c>
    </row>
    <row r="971">
      <c r="A971" s="6" t="n">
        <v>970</v>
      </c>
      <c r="B971" s="13" t="n">
        <v>44073</v>
      </c>
      <c r="C971" s="6" t="inlineStr">
        <is>
          <t>A57</t>
        </is>
      </c>
      <c r="D971" s="6" t="n">
        <v>12</v>
      </c>
      <c r="E971" s="15" t="n">
        <v>97</v>
      </c>
      <c r="F971" s="5" t="inlineStr">
        <is>
          <t>нет</t>
        </is>
      </c>
      <c r="G971" s="7" t="n"/>
      <c r="H971">
        <f>VLOOKUP(C971,Автомобили!$A$2:$G$1000,3,0)</f>
        <v/>
      </c>
      <c r="I971">
        <f>VLOOKUP(D971,Клиенты!$A$2:$D$1000,2,0)</f>
        <v/>
      </c>
      <c r="J971">
        <f>IF(AND(H971="Kaptur",I971="Окраинов Л.Г.",YEAR(B971)=2020),E971,0)</f>
        <v/>
      </c>
    </row>
    <row r="972">
      <c r="A972" s="6" t="n">
        <v>971</v>
      </c>
      <c r="B972" s="13" t="n">
        <v>44073</v>
      </c>
      <c r="C972" s="6" t="inlineStr">
        <is>
          <t>A6</t>
        </is>
      </c>
      <c r="D972" s="6" t="n">
        <v>4</v>
      </c>
      <c r="E972" s="15" t="n">
        <v>192</v>
      </c>
      <c r="F972" s="5" t="inlineStr">
        <is>
          <t>нет</t>
        </is>
      </c>
      <c r="G972" s="7" t="n"/>
      <c r="H972">
        <f>VLOOKUP(C972,Автомобили!$A$2:$G$1000,3,0)</f>
        <v/>
      </c>
      <c r="I972">
        <f>VLOOKUP(D972,Клиенты!$A$2:$D$1000,2,0)</f>
        <v/>
      </c>
      <c r="J972">
        <f>IF(AND(H972="Kaptur",I972="Окраинов Л.Г.",YEAR(B972)=2020),E972,0)</f>
        <v/>
      </c>
    </row>
    <row r="973">
      <c r="A973" s="6" t="n">
        <v>972</v>
      </c>
      <c r="B973" s="13" t="n">
        <v>44073</v>
      </c>
      <c r="C973" s="6" t="inlineStr">
        <is>
          <t>A53</t>
        </is>
      </c>
      <c r="D973" s="6" t="n">
        <v>2</v>
      </c>
      <c r="E973" s="15" t="n">
        <v>104</v>
      </c>
      <c r="F973" s="5" t="inlineStr">
        <is>
          <t>нет</t>
        </is>
      </c>
      <c r="G973" s="7" t="n"/>
      <c r="H973">
        <f>VLOOKUP(C973,Автомобили!$A$2:$G$1000,3,0)</f>
        <v/>
      </c>
      <c r="I973">
        <f>VLOOKUP(D973,Клиенты!$A$2:$D$1000,2,0)</f>
        <v/>
      </c>
      <c r="J973">
        <f>IF(AND(H973="Kaptur",I973="Окраинов Л.Г.",YEAR(B973)=2020),E973,0)</f>
        <v/>
      </c>
    </row>
    <row r="974">
      <c r="A974" s="6" t="n">
        <v>973</v>
      </c>
      <c r="B974" s="13" t="n">
        <v>44074</v>
      </c>
      <c r="C974" s="6" t="inlineStr">
        <is>
          <t>A57</t>
        </is>
      </c>
      <c r="D974" s="6" t="n">
        <v>13</v>
      </c>
      <c r="E974" s="15" t="n">
        <v>104</v>
      </c>
      <c r="F974" s="5" t="inlineStr">
        <is>
          <t>нет</t>
        </is>
      </c>
      <c r="G974" s="7" t="n"/>
      <c r="H974">
        <f>VLOOKUP(C974,Автомобили!$A$2:$G$1000,3,0)</f>
        <v/>
      </c>
      <c r="I974">
        <f>VLOOKUP(D974,Клиенты!$A$2:$D$1000,2,0)</f>
        <v/>
      </c>
      <c r="J974">
        <f>IF(AND(H974="Kaptur",I974="Окраинов Л.Г.",YEAR(B974)=2020),E974,0)</f>
        <v/>
      </c>
    </row>
    <row r="975">
      <c r="A975" s="6" t="n">
        <v>974</v>
      </c>
      <c r="B975" s="13" t="n">
        <v>44074</v>
      </c>
      <c r="C975" s="6" t="inlineStr">
        <is>
          <t>A1</t>
        </is>
      </c>
      <c r="D975" s="6" t="n">
        <v>7</v>
      </c>
      <c r="E975" s="15" t="n">
        <v>86</v>
      </c>
      <c r="F975" s="5" t="inlineStr">
        <is>
          <t>нет</t>
        </is>
      </c>
      <c r="G975" s="7" t="n"/>
      <c r="H975">
        <f>VLOOKUP(C975,Автомобили!$A$2:$G$1000,3,0)</f>
        <v/>
      </c>
      <c r="I975">
        <f>VLOOKUP(D975,Клиенты!$A$2:$D$1000,2,0)</f>
        <v/>
      </c>
      <c r="J975">
        <f>IF(AND(H975="Kaptur",I975="Окраинов Л.Г.",YEAR(B975)=2020),E975,0)</f>
        <v/>
      </c>
    </row>
    <row r="976">
      <c r="A976" s="6" t="n">
        <v>975</v>
      </c>
      <c r="B976" s="13" t="n">
        <v>44074</v>
      </c>
      <c r="C976" s="6" t="inlineStr">
        <is>
          <t>A61</t>
        </is>
      </c>
      <c r="D976" s="6" t="n">
        <v>9</v>
      </c>
      <c r="E976" s="15" t="n">
        <v>429</v>
      </c>
      <c r="F976" s="5" t="inlineStr">
        <is>
          <t>нет</t>
        </is>
      </c>
      <c r="G976" s="7" t="n"/>
      <c r="H976">
        <f>VLOOKUP(C976,Автомобили!$A$2:$G$1000,3,0)</f>
        <v/>
      </c>
      <c r="I976">
        <f>VLOOKUP(D976,Клиенты!$A$2:$D$1000,2,0)</f>
        <v/>
      </c>
      <c r="J976">
        <f>IF(AND(H976="Kaptur",I976="Окраинов Л.Г.",YEAR(B976)=2020),E976,0)</f>
        <v/>
      </c>
    </row>
    <row r="977">
      <c r="A977" s="6" t="n">
        <v>976</v>
      </c>
      <c r="B977" s="13" t="n">
        <v>44074</v>
      </c>
      <c r="C977" s="6" t="inlineStr">
        <is>
          <t>A35</t>
        </is>
      </c>
      <c r="D977" s="6" t="n">
        <v>7</v>
      </c>
      <c r="E977" s="15" t="n">
        <v>200</v>
      </c>
      <c r="F977" s="5" t="inlineStr">
        <is>
          <t>нет</t>
        </is>
      </c>
      <c r="G977" s="7" t="n"/>
      <c r="H977">
        <f>VLOOKUP(C977,Автомобили!$A$2:$G$1000,3,0)</f>
        <v/>
      </c>
      <c r="I977">
        <f>VLOOKUP(D977,Клиенты!$A$2:$D$1000,2,0)</f>
        <v/>
      </c>
      <c r="J977">
        <f>IF(AND(H977="Kaptur",I977="Окраинов Л.Г.",YEAR(B977)=2020),E977,0)</f>
        <v/>
      </c>
    </row>
    <row r="978">
      <c r="A978" s="6" t="n">
        <v>977</v>
      </c>
      <c r="B978" s="13" t="n">
        <v>44075</v>
      </c>
      <c r="C978" s="6" t="inlineStr">
        <is>
          <t>A59</t>
        </is>
      </c>
      <c r="D978" s="6" t="n">
        <v>8</v>
      </c>
      <c r="E978" s="15" t="n">
        <v>449</v>
      </c>
      <c r="F978" s="5" t="inlineStr">
        <is>
          <t>нет</t>
        </is>
      </c>
      <c r="G978" s="7" t="n"/>
      <c r="H978">
        <f>VLOOKUP(C978,Автомобили!$A$2:$G$1000,3,0)</f>
        <v/>
      </c>
      <c r="I978">
        <f>VLOOKUP(D978,Клиенты!$A$2:$D$1000,2,0)</f>
        <v/>
      </c>
      <c r="J978">
        <f>IF(AND(H978="Kaptur",I978="Окраинов Л.Г.",YEAR(B978)=2020),E978,0)</f>
        <v/>
      </c>
    </row>
    <row r="979">
      <c r="A979" s="6" t="n">
        <v>978</v>
      </c>
      <c r="B979" s="13" t="n">
        <v>44075</v>
      </c>
      <c r="C979" s="6" t="inlineStr">
        <is>
          <t>A37</t>
        </is>
      </c>
      <c r="D979" s="6" t="n">
        <v>1</v>
      </c>
      <c r="E979" s="15" t="n">
        <v>119</v>
      </c>
      <c r="F979" s="5" t="inlineStr">
        <is>
          <t>нет</t>
        </is>
      </c>
      <c r="G979" s="7" t="n"/>
      <c r="H979">
        <f>VLOOKUP(C979,Автомобили!$A$2:$G$1000,3,0)</f>
        <v/>
      </c>
      <c r="I979">
        <f>VLOOKUP(D979,Клиенты!$A$2:$D$1000,2,0)</f>
        <v/>
      </c>
      <c r="J979">
        <f>IF(AND(H979="Kaptur",I979="Окраинов Л.Г.",YEAR(B979)=2020),E979,0)</f>
        <v/>
      </c>
    </row>
    <row r="980">
      <c r="A980" s="6" t="n">
        <v>979</v>
      </c>
      <c r="B980" s="13" t="n">
        <v>44075</v>
      </c>
      <c r="C980" s="6" t="inlineStr">
        <is>
          <t>A20</t>
        </is>
      </c>
      <c r="D980" s="6" t="n">
        <v>7</v>
      </c>
      <c r="E980" s="15" t="n">
        <v>82</v>
      </c>
      <c r="F980" s="5" t="inlineStr">
        <is>
          <t>нет</t>
        </is>
      </c>
      <c r="G980" s="7" t="n"/>
      <c r="H980">
        <f>VLOOKUP(C980,Автомобили!$A$2:$G$1000,3,0)</f>
        <v/>
      </c>
      <c r="I980">
        <f>VLOOKUP(D980,Клиенты!$A$2:$D$1000,2,0)</f>
        <v/>
      </c>
      <c r="J980">
        <f>IF(AND(H980="Kaptur",I980="Окраинов Л.Г.",YEAR(B980)=2020),E980,0)</f>
        <v/>
      </c>
    </row>
    <row r="981">
      <c r="A981" s="6" t="n">
        <v>980</v>
      </c>
      <c r="B981" s="13" t="n">
        <v>44075</v>
      </c>
      <c r="C981" s="6" t="inlineStr">
        <is>
          <t>A11</t>
        </is>
      </c>
      <c r="D981" s="6" t="n">
        <v>13</v>
      </c>
      <c r="E981" s="15" t="n">
        <v>128</v>
      </c>
      <c r="F981" s="5" t="inlineStr">
        <is>
          <t>нет</t>
        </is>
      </c>
      <c r="G981" s="7" t="n"/>
      <c r="H981">
        <f>VLOOKUP(C981,Автомобили!$A$2:$G$1000,3,0)</f>
        <v/>
      </c>
      <c r="I981">
        <f>VLOOKUP(D981,Клиенты!$A$2:$D$1000,2,0)</f>
        <v/>
      </c>
      <c r="J981">
        <f>IF(AND(H981="Kaptur",I981="Окраинов Л.Г.",YEAR(B981)=2020),E981,0)</f>
        <v/>
      </c>
    </row>
    <row r="982">
      <c r="A982" s="6" t="n">
        <v>981</v>
      </c>
      <c r="B982" s="13" t="n">
        <v>44076</v>
      </c>
      <c r="C982" s="6" t="inlineStr">
        <is>
          <t>A1</t>
        </is>
      </c>
      <c r="D982" s="6" t="n">
        <v>6</v>
      </c>
      <c r="E982" s="15" t="n">
        <v>91</v>
      </c>
      <c r="F982" s="5" t="inlineStr">
        <is>
          <t>нет</t>
        </is>
      </c>
      <c r="G982" s="7" t="n"/>
      <c r="H982">
        <f>VLOOKUP(C982,Автомобили!$A$2:$G$1000,3,0)</f>
        <v/>
      </c>
      <c r="I982">
        <f>VLOOKUP(D982,Клиенты!$A$2:$D$1000,2,0)</f>
        <v/>
      </c>
      <c r="J982">
        <f>IF(AND(H982="Kaptur",I982="Окраинов Л.Г.",YEAR(B982)=2020),E982,0)</f>
        <v/>
      </c>
    </row>
    <row r="983">
      <c r="A983" s="6" t="n">
        <v>982</v>
      </c>
      <c r="B983" s="13" t="n">
        <v>44076</v>
      </c>
      <c r="C983" s="6" t="inlineStr">
        <is>
          <t>A32</t>
        </is>
      </c>
      <c r="D983" s="6" t="n">
        <v>4</v>
      </c>
      <c r="E983" s="15" t="n">
        <v>342</v>
      </c>
      <c r="F983" s="5" t="inlineStr">
        <is>
          <t>нет</t>
        </is>
      </c>
      <c r="G983" s="7" t="n"/>
      <c r="H983">
        <f>VLOOKUP(C983,Автомобили!$A$2:$G$1000,3,0)</f>
        <v/>
      </c>
      <c r="I983">
        <f>VLOOKUP(D983,Клиенты!$A$2:$D$1000,2,0)</f>
        <v/>
      </c>
      <c r="J983">
        <f>IF(AND(H983="Kaptur",I983="Окраинов Л.Г.",YEAR(B983)=2020),E983,0)</f>
        <v/>
      </c>
    </row>
    <row r="984">
      <c r="A984" s="6" t="n">
        <v>983</v>
      </c>
      <c r="B984" s="13" t="n">
        <v>44076</v>
      </c>
      <c r="C984" s="6" t="inlineStr">
        <is>
          <t>A58</t>
        </is>
      </c>
      <c r="D984" s="6" t="n">
        <v>12</v>
      </c>
      <c r="E984" s="15" t="n">
        <v>103</v>
      </c>
      <c r="F984" s="5" t="inlineStr">
        <is>
          <t>нет</t>
        </is>
      </c>
      <c r="G984" s="7" t="n"/>
      <c r="H984">
        <f>VLOOKUP(C984,Автомобили!$A$2:$G$1000,3,0)</f>
        <v/>
      </c>
      <c r="I984">
        <f>VLOOKUP(D984,Клиенты!$A$2:$D$1000,2,0)</f>
        <v/>
      </c>
      <c r="J984">
        <f>IF(AND(H984="Kaptur",I984="Окраинов Л.Г.",YEAR(B984)=2020),E984,0)</f>
        <v/>
      </c>
    </row>
    <row r="985">
      <c r="A985" s="6" t="n">
        <v>984</v>
      </c>
      <c r="B985" s="13" t="n">
        <v>44076</v>
      </c>
      <c r="C985" s="6" t="inlineStr">
        <is>
          <t>A21</t>
        </is>
      </c>
      <c r="D985" s="6" t="n">
        <v>13</v>
      </c>
      <c r="E985" s="15" t="n">
        <v>84</v>
      </c>
      <c r="F985" s="5" t="inlineStr">
        <is>
          <t>нет</t>
        </is>
      </c>
      <c r="G985" s="7" t="n"/>
      <c r="H985">
        <f>VLOOKUP(C985,Автомобили!$A$2:$G$1000,3,0)</f>
        <v/>
      </c>
      <c r="I985">
        <f>VLOOKUP(D985,Клиенты!$A$2:$D$1000,2,0)</f>
        <v/>
      </c>
      <c r="J985">
        <f>IF(AND(H985="Kaptur",I985="Окраинов Л.Г.",YEAR(B985)=2020),E985,0)</f>
        <v/>
      </c>
    </row>
    <row r="986">
      <c r="A986" s="6" t="n">
        <v>985</v>
      </c>
      <c r="B986" s="13" t="n">
        <v>44077</v>
      </c>
      <c r="C986" s="6" t="inlineStr">
        <is>
          <t>A16</t>
        </is>
      </c>
      <c r="D986" s="6" t="n">
        <v>10</v>
      </c>
      <c r="E986" s="15" t="n">
        <v>243</v>
      </c>
      <c r="F986" s="5" t="inlineStr">
        <is>
          <t>нет</t>
        </is>
      </c>
      <c r="G986" s="7" t="n"/>
      <c r="H986">
        <f>VLOOKUP(C986,Автомобили!$A$2:$G$1000,3,0)</f>
        <v/>
      </c>
      <c r="I986">
        <f>VLOOKUP(D986,Клиенты!$A$2:$D$1000,2,0)</f>
        <v/>
      </c>
      <c r="J986">
        <f>IF(AND(H986="Kaptur",I986="Окраинов Л.Г.",YEAR(B986)=2020),E986,0)</f>
        <v/>
      </c>
    </row>
    <row r="987">
      <c r="A987" s="6" t="n">
        <v>986</v>
      </c>
      <c r="B987" s="13" t="n">
        <v>44077</v>
      </c>
      <c r="C987" s="6" t="inlineStr">
        <is>
          <t>A17</t>
        </is>
      </c>
      <c r="D987" s="6" t="n">
        <v>3</v>
      </c>
      <c r="E987" s="15" t="n">
        <v>95</v>
      </c>
      <c r="F987" s="5" t="inlineStr">
        <is>
          <t>нет</t>
        </is>
      </c>
      <c r="G987" s="7" t="n"/>
      <c r="H987">
        <f>VLOOKUP(C987,Автомобили!$A$2:$G$1000,3,0)</f>
        <v/>
      </c>
      <c r="I987">
        <f>VLOOKUP(D987,Клиенты!$A$2:$D$1000,2,0)</f>
        <v/>
      </c>
      <c r="J987">
        <f>IF(AND(H987="Kaptur",I987="Окраинов Л.Г.",YEAR(B987)=2020),E987,0)</f>
        <v/>
      </c>
    </row>
    <row r="988">
      <c r="A988" s="6" t="n">
        <v>987</v>
      </c>
      <c r="B988" s="13" t="n">
        <v>44077</v>
      </c>
      <c r="C988" s="6" t="inlineStr">
        <is>
          <t>A30</t>
        </is>
      </c>
      <c r="D988" s="6" t="n">
        <v>8</v>
      </c>
      <c r="E988" s="15" t="n">
        <v>168</v>
      </c>
      <c r="F988" s="5" t="inlineStr">
        <is>
          <t>нет</t>
        </is>
      </c>
      <c r="G988" s="7" t="n"/>
      <c r="H988">
        <f>VLOOKUP(C988,Автомобили!$A$2:$G$1000,3,0)</f>
        <v/>
      </c>
      <c r="I988">
        <f>VLOOKUP(D988,Клиенты!$A$2:$D$1000,2,0)</f>
        <v/>
      </c>
      <c r="J988">
        <f>IF(AND(H988="Kaptur",I988="Окраинов Л.Г.",YEAR(B988)=2020),E988,0)</f>
        <v/>
      </c>
    </row>
    <row r="989">
      <c r="A989" s="6" t="n">
        <v>988</v>
      </c>
      <c r="B989" s="13" t="n">
        <v>44077</v>
      </c>
      <c r="C989" s="6" t="inlineStr">
        <is>
          <t>A35</t>
        </is>
      </c>
      <c r="D989" s="6" t="n">
        <v>13</v>
      </c>
      <c r="E989" s="15" t="n">
        <v>436</v>
      </c>
      <c r="F989" s="5" t="inlineStr">
        <is>
          <t>нет</t>
        </is>
      </c>
      <c r="G989" s="7" t="n"/>
      <c r="H989">
        <f>VLOOKUP(C989,Автомобили!$A$2:$G$1000,3,0)</f>
        <v/>
      </c>
      <c r="I989">
        <f>VLOOKUP(D989,Клиенты!$A$2:$D$1000,2,0)</f>
        <v/>
      </c>
      <c r="J989">
        <f>IF(AND(H989="Kaptur",I989="Окраинов Л.Г.",YEAR(B989)=2020),E989,0)</f>
        <v/>
      </c>
    </row>
    <row r="990">
      <c r="A990" s="6" t="n">
        <v>989</v>
      </c>
      <c r="B990" s="13" t="n">
        <v>44078</v>
      </c>
      <c r="C990" s="6" t="inlineStr">
        <is>
          <t>A25</t>
        </is>
      </c>
      <c r="D990" s="6" t="n">
        <v>11</v>
      </c>
      <c r="E990" s="15" t="n">
        <v>319</v>
      </c>
      <c r="F990" s="5" t="inlineStr">
        <is>
          <t>нет</t>
        </is>
      </c>
      <c r="G990" s="7" t="n"/>
      <c r="H990">
        <f>VLOOKUP(C990,Автомобили!$A$2:$G$1000,3,0)</f>
        <v/>
      </c>
      <c r="I990">
        <f>VLOOKUP(D990,Клиенты!$A$2:$D$1000,2,0)</f>
        <v/>
      </c>
      <c r="J990">
        <f>IF(AND(H990="Kaptur",I990="Окраинов Л.Г.",YEAR(B990)=2020),E990,0)</f>
        <v/>
      </c>
    </row>
    <row r="991">
      <c r="A991" s="6" t="n">
        <v>990</v>
      </c>
      <c r="B991" s="13" t="n">
        <v>44078</v>
      </c>
      <c r="C991" s="6" t="inlineStr">
        <is>
          <t>A41</t>
        </is>
      </c>
      <c r="D991" s="6" t="n">
        <v>15</v>
      </c>
      <c r="E991" s="15" t="n">
        <v>430</v>
      </c>
      <c r="F991" s="5" t="inlineStr">
        <is>
          <t>нет</t>
        </is>
      </c>
      <c r="G991" s="7" t="n"/>
      <c r="H991">
        <f>VLOOKUP(C991,Автомобили!$A$2:$G$1000,3,0)</f>
        <v/>
      </c>
      <c r="I991">
        <f>VLOOKUP(D991,Клиенты!$A$2:$D$1000,2,0)</f>
        <v/>
      </c>
      <c r="J991">
        <f>IF(AND(H991="Kaptur",I991="Окраинов Л.Г.",YEAR(B991)=2020),E991,0)</f>
        <v/>
      </c>
    </row>
    <row r="992">
      <c r="A992" s="6" t="n">
        <v>991</v>
      </c>
      <c r="B992" s="13" t="n">
        <v>44078</v>
      </c>
      <c r="C992" s="6" t="inlineStr">
        <is>
          <t>A8</t>
        </is>
      </c>
      <c r="D992" s="6" t="n">
        <v>15</v>
      </c>
      <c r="E992" s="15" t="n">
        <v>353</v>
      </c>
      <c r="F992" s="5" t="inlineStr">
        <is>
          <t>нет</t>
        </is>
      </c>
      <c r="G992" s="7" t="n"/>
      <c r="H992">
        <f>VLOOKUP(C992,Автомобили!$A$2:$G$1000,3,0)</f>
        <v/>
      </c>
      <c r="I992">
        <f>VLOOKUP(D992,Клиенты!$A$2:$D$1000,2,0)</f>
        <v/>
      </c>
      <c r="J992">
        <f>IF(AND(H992="Kaptur",I992="Окраинов Л.Г.",YEAR(B992)=2020),E992,0)</f>
        <v/>
      </c>
    </row>
    <row r="993">
      <c r="A993" s="6" t="n">
        <v>992</v>
      </c>
      <c r="B993" s="13" t="n">
        <v>44078</v>
      </c>
      <c r="C993" s="6" t="inlineStr">
        <is>
          <t>A27</t>
        </is>
      </c>
      <c r="D993" s="6" t="n">
        <v>8</v>
      </c>
      <c r="E993" s="15" t="n">
        <v>87</v>
      </c>
      <c r="F993" s="5" t="inlineStr">
        <is>
          <t>нет</t>
        </is>
      </c>
      <c r="G993" s="7" t="n"/>
      <c r="H993">
        <f>VLOOKUP(C993,Автомобили!$A$2:$G$1000,3,0)</f>
        <v/>
      </c>
      <c r="I993">
        <f>VLOOKUP(D993,Клиенты!$A$2:$D$1000,2,0)</f>
        <v/>
      </c>
      <c r="J993">
        <f>IF(AND(H993="Kaptur",I993="Окраинов Л.Г.",YEAR(B993)=2020),E993,0)</f>
        <v/>
      </c>
    </row>
    <row r="994">
      <c r="A994" s="6" t="n">
        <v>993</v>
      </c>
      <c r="B994" s="13" t="n">
        <v>44079</v>
      </c>
      <c r="C994" s="6" t="inlineStr">
        <is>
          <t>A12</t>
        </is>
      </c>
      <c r="D994" s="6" t="n">
        <v>1</v>
      </c>
      <c r="E994" s="15" t="n">
        <v>229</v>
      </c>
      <c r="F994" s="5" t="inlineStr">
        <is>
          <t>нет</t>
        </is>
      </c>
      <c r="G994" s="7" t="n"/>
      <c r="H994">
        <f>VLOOKUP(C994,Автомобили!$A$2:$G$1000,3,0)</f>
        <v/>
      </c>
      <c r="I994">
        <f>VLOOKUP(D994,Клиенты!$A$2:$D$1000,2,0)</f>
        <v/>
      </c>
      <c r="J994">
        <f>IF(AND(H994="Kaptur",I994="Окраинов Л.Г.",YEAR(B994)=2020),E994,0)</f>
        <v/>
      </c>
    </row>
    <row r="995">
      <c r="A995" s="6" t="n">
        <v>994</v>
      </c>
      <c r="B995" s="13" t="n">
        <v>44079</v>
      </c>
      <c r="C995" s="6" t="inlineStr">
        <is>
          <t>A35</t>
        </is>
      </c>
      <c r="D995" s="6" t="n">
        <v>6</v>
      </c>
      <c r="E995" s="15" t="n">
        <v>255</v>
      </c>
      <c r="F995" s="5" t="inlineStr">
        <is>
          <t>нет</t>
        </is>
      </c>
      <c r="G995" s="7" t="n"/>
      <c r="H995">
        <f>VLOOKUP(C995,Автомобили!$A$2:$G$1000,3,0)</f>
        <v/>
      </c>
      <c r="I995">
        <f>VLOOKUP(D995,Клиенты!$A$2:$D$1000,2,0)</f>
        <v/>
      </c>
      <c r="J995">
        <f>IF(AND(H995="Kaptur",I995="Окраинов Л.Г.",YEAR(B995)=2020),E995,0)</f>
        <v/>
      </c>
    </row>
    <row r="996">
      <c r="A996" s="6" t="n">
        <v>995</v>
      </c>
      <c r="B996" s="13" t="n">
        <v>44079</v>
      </c>
      <c r="C996" s="6" t="inlineStr">
        <is>
          <t>A14</t>
        </is>
      </c>
      <c r="D996" s="6" t="n">
        <v>11</v>
      </c>
      <c r="E996" s="15" t="n">
        <v>165</v>
      </c>
      <c r="F996" s="5" t="inlineStr">
        <is>
          <t>нет</t>
        </is>
      </c>
      <c r="G996" s="7" t="n"/>
      <c r="H996">
        <f>VLOOKUP(C996,Автомобили!$A$2:$G$1000,3,0)</f>
        <v/>
      </c>
      <c r="I996">
        <f>VLOOKUP(D996,Клиенты!$A$2:$D$1000,2,0)</f>
        <v/>
      </c>
      <c r="J996">
        <f>IF(AND(H996="Kaptur",I996="Окраинов Л.Г.",YEAR(B996)=2020),E996,0)</f>
        <v/>
      </c>
    </row>
    <row r="997">
      <c r="A997" s="6" t="n">
        <v>996</v>
      </c>
      <c r="B997" s="13" t="n">
        <v>44079</v>
      </c>
      <c r="C997" s="6" t="inlineStr">
        <is>
          <t>A34</t>
        </is>
      </c>
      <c r="D997" s="6" t="n">
        <v>14</v>
      </c>
      <c r="E997" s="15" t="n">
        <v>286</v>
      </c>
      <c r="F997" s="5" t="inlineStr">
        <is>
          <t>нет</t>
        </is>
      </c>
      <c r="G997" s="7" t="n"/>
      <c r="H997">
        <f>VLOOKUP(C997,Автомобили!$A$2:$G$1000,3,0)</f>
        <v/>
      </c>
      <c r="I997">
        <f>VLOOKUP(D997,Клиенты!$A$2:$D$1000,2,0)</f>
        <v/>
      </c>
      <c r="J997">
        <f>IF(AND(H997="Kaptur",I997="Окраинов Л.Г.",YEAR(B997)=2020),E997,0)</f>
        <v/>
      </c>
    </row>
    <row r="998">
      <c r="A998" s="6" t="n">
        <v>997</v>
      </c>
      <c r="B998" s="13" t="n">
        <v>44080</v>
      </c>
      <c r="C998" s="6" t="inlineStr">
        <is>
          <t>A31</t>
        </is>
      </c>
      <c r="D998" s="6" t="n">
        <v>4</v>
      </c>
      <c r="E998" s="15" t="n">
        <v>291</v>
      </c>
      <c r="F998" s="5" t="inlineStr">
        <is>
          <t>нет</t>
        </is>
      </c>
      <c r="G998" s="7" t="n"/>
      <c r="H998">
        <f>VLOOKUP(C998,Автомобили!$A$2:$G$1000,3,0)</f>
        <v/>
      </c>
      <c r="I998">
        <f>VLOOKUP(D998,Клиенты!$A$2:$D$1000,2,0)</f>
        <v/>
      </c>
      <c r="J998">
        <f>IF(AND(H998="Kaptur",I998="Окраинов Л.Г.",YEAR(B998)=2020),E998,0)</f>
        <v/>
      </c>
    </row>
    <row r="999">
      <c r="A999" s="6" t="n">
        <v>998</v>
      </c>
      <c r="B999" s="13" t="n">
        <v>44080</v>
      </c>
      <c r="C999" s="6" t="inlineStr">
        <is>
          <t>A27</t>
        </is>
      </c>
      <c r="D999" s="6" t="n">
        <v>2</v>
      </c>
      <c r="E999" s="15" t="n">
        <v>433</v>
      </c>
      <c r="F999" s="5" t="inlineStr">
        <is>
          <t>нет</t>
        </is>
      </c>
      <c r="G999" s="7" t="n"/>
      <c r="H999">
        <f>VLOOKUP(C999,Автомобили!$A$2:$G$1000,3,0)</f>
        <v/>
      </c>
      <c r="I999">
        <f>VLOOKUP(D999,Клиенты!$A$2:$D$1000,2,0)</f>
        <v/>
      </c>
      <c r="J999">
        <f>IF(AND(H999="Kaptur",I999="Окраинов Л.Г.",YEAR(B999)=2020),E999,0)</f>
        <v/>
      </c>
    </row>
    <row r="1000">
      <c r="A1000" s="6" t="n">
        <v>999</v>
      </c>
      <c r="B1000" s="13" t="n">
        <v>44080</v>
      </c>
      <c r="C1000" s="6" t="inlineStr">
        <is>
          <t>A53</t>
        </is>
      </c>
      <c r="D1000" s="6" t="n">
        <v>15</v>
      </c>
      <c r="E1000" s="15" t="n">
        <v>284</v>
      </c>
      <c r="F1000" s="5" t="inlineStr">
        <is>
          <t>нет</t>
        </is>
      </c>
      <c r="G1000" s="7" t="n"/>
      <c r="H1000">
        <f>VLOOKUP(C1000,Автомобили!$A$2:$G$1000,3,0)</f>
        <v/>
      </c>
      <c r="I1000">
        <f>VLOOKUP(D1000,Клиенты!$A$2:$D$1000,2,0)</f>
        <v/>
      </c>
      <c r="J1000">
        <f>IF(AND(H1000="Kaptur",I1000="Окраинов Л.Г.",YEAR(B1000)=2020),E1000,0)</f>
        <v/>
      </c>
    </row>
    <row r="1001">
      <c r="A1001" s="6" t="n">
        <v>1000</v>
      </c>
      <c r="B1001" s="13" t="n">
        <v>44080</v>
      </c>
      <c r="C1001" s="6" t="inlineStr">
        <is>
          <t>A44</t>
        </is>
      </c>
      <c r="D1001" s="6" t="n">
        <v>9</v>
      </c>
      <c r="E1001" s="15" t="n">
        <v>320</v>
      </c>
      <c r="F1001" s="5" t="inlineStr">
        <is>
          <t>нет</t>
        </is>
      </c>
      <c r="G1001" s="7" t="n"/>
      <c r="H1001">
        <f>VLOOKUP(C1001,Автомобили!$A$2:$G$1000,3,0)</f>
        <v/>
      </c>
      <c r="I1001">
        <f>VLOOKUP(D1001,Клиенты!$A$2:$D$1000,2,0)</f>
        <v/>
      </c>
      <c r="J1001">
        <f>IF(AND(H1001="Kaptur",I1001="Окраинов Л.Г.",YEAR(B1001)=2020),E1001,0)</f>
        <v/>
      </c>
    </row>
    <row r="1002">
      <c r="A1002" s="6" t="n">
        <v>1001</v>
      </c>
      <c r="B1002" s="13" t="n">
        <v>44081</v>
      </c>
      <c r="C1002" s="6" t="inlineStr">
        <is>
          <t>A30</t>
        </is>
      </c>
      <c r="D1002" s="6" t="n">
        <v>6</v>
      </c>
      <c r="E1002" s="15" t="n">
        <v>139</v>
      </c>
      <c r="F1002" s="5" t="inlineStr">
        <is>
          <t>нет</t>
        </is>
      </c>
      <c r="G1002" s="7" t="n"/>
      <c r="H1002">
        <f>VLOOKUP(C1002,Автомобили!$A$2:$G$1000,3,0)</f>
        <v/>
      </c>
      <c r="I1002">
        <f>VLOOKUP(D1002,Клиенты!$A$2:$D$1000,2,0)</f>
        <v/>
      </c>
      <c r="J1002">
        <f>IF(AND(H1002="Kaptur",I1002="Окраинов Л.Г.",YEAR(B1002)=2020),E1002,0)</f>
        <v/>
      </c>
    </row>
    <row r="1003">
      <c r="A1003" s="6" t="n">
        <v>1002</v>
      </c>
      <c r="B1003" s="13" t="n">
        <v>44081</v>
      </c>
      <c r="C1003" s="6" t="inlineStr">
        <is>
          <t>A16</t>
        </is>
      </c>
      <c r="D1003" s="6" t="n">
        <v>14</v>
      </c>
      <c r="E1003" s="15" t="n">
        <v>340</v>
      </c>
      <c r="F1003" s="5" t="inlineStr">
        <is>
          <t>нет</t>
        </is>
      </c>
      <c r="G1003" s="7" t="n"/>
      <c r="H1003">
        <f>VLOOKUP(C1003,Автомобили!$A$2:$G$1000,3,0)</f>
        <v/>
      </c>
      <c r="I1003">
        <f>VLOOKUP(D1003,Клиенты!$A$2:$D$1000,2,0)</f>
        <v/>
      </c>
      <c r="J1003">
        <f>IF(AND(H1003="Kaptur",I1003="Окраинов Л.Г.",YEAR(B1003)=2020),E1003,0)</f>
        <v/>
      </c>
    </row>
    <row r="1004">
      <c r="A1004" s="6" t="n">
        <v>1003</v>
      </c>
      <c r="B1004" s="13" t="n">
        <v>44081</v>
      </c>
      <c r="C1004" s="6" t="inlineStr">
        <is>
          <t>A11</t>
        </is>
      </c>
      <c r="D1004" s="6" t="n">
        <v>1</v>
      </c>
      <c r="E1004" s="15" t="n">
        <v>442</v>
      </c>
      <c r="F1004" s="5" t="inlineStr">
        <is>
          <t>нет</t>
        </is>
      </c>
      <c r="G1004" s="7" t="n"/>
      <c r="H1004">
        <f>VLOOKUP(C1004,Автомобили!$A$2:$G$1000,3,0)</f>
        <v/>
      </c>
      <c r="I1004">
        <f>VLOOKUP(D1004,Клиенты!$A$2:$D$1000,2,0)</f>
        <v/>
      </c>
      <c r="J1004">
        <f>IF(AND(H1004="Kaptur",I1004="Окраинов Л.Г.",YEAR(B1004)=2020),E1004,0)</f>
        <v/>
      </c>
    </row>
    <row r="1005">
      <c r="A1005" s="6" t="n">
        <v>1004</v>
      </c>
      <c r="B1005" s="13" t="n">
        <v>44081</v>
      </c>
      <c r="C1005" s="6" t="inlineStr">
        <is>
          <t>A39</t>
        </is>
      </c>
      <c r="D1005" s="6" t="n">
        <v>15</v>
      </c>
      <c r="E1005" s="15" t="n">
        <v>112</v>
      </c>
      <c r="F1005" s="5" t="inlineStr">
        <is>
          <t>нет</t>
        </is>
      </c>
      <c r="G1005" s="7" t="n"/>
      <c r="H1005">
        <f>VLOOKUP(C1005,Автомобили!$A$2:$G$1000,3,0)</f>
        <v/>
      </c>
      <c r="I1005">
        <f>VLOOKUP(D1005,Клиенты!$A$2:$D$1000,2,0)</f>
        <v/>
      </c>
      <c r="J1005">
        <f>IF(AND(H1005="Kaptur",I1005="Окраинов Л.Г.",YEAR(B1005)=2020),E1005,0)</f>
        <v/>
      </c>
    </row>
    <row r="1006">
      <c r="A1006" s="6" t="n">
        <v>1005</v>
      </c>
      <c r="B1006" s="13" t="n">
        <v>44082</v>
      </c>
      <c r="C1006" s="6" t="inlineStr">
        <is>
          <t>A62</t>
        </is>
      </c>
      <c r="D1006" s="6" t="n">
        <v>10</v>
      </c>
      <c r="E1006" s="15" t="n">
        <v>121</v>
      </c>
      <c r="F1006" s="5" t="inlineStr">
        <is>
          <t>нет</t>
        </is>
      </c>
      <c r="G1006" s="7" t="n"/>
      <c r="H1006">
        <f>VLOOKUP(C1006,Автомобили!$A$2:$G$1000,3,0)</f>
        <v/>
      </c>
      <c r="I1006">
        <f>VLOOKUP(D1006,Клиенты!$A$2:$D$1000,2,0)</f>
        <v/>
      </c>
      <c r="J1006">
        <f>IF(AND(H1006="Kaptur",I1006="Окраинов Л.Г.",YEAR(B1006)=2020),E1006,0)</f>
        <v/>
      </c>
    </row>
    <row r="1007">
      <c r="A1007" s="6" t="n">
        <v>1006</v>
      </c>
      <c r="B1007" s="13" t="n">
        <v>44082</v>
      </c>
      <c r="C1007" s="6" t="inlineStr">
        <is>
          <t>A25</t>
        </is>
      </c>
      <c r="D1007" s="6" t="n">
        <v>2</v>
      </c>
      <c r="E1007" s="15" t="n">
        <v>197</v>
      </c>
      <c r="F1007" s="5" t="inlineStr">
        <is>
          <t>нет</t>
        </is>
      </c>
      <c r="G1007" s="7" t="n"/>
      <c r="H1007">
        <f>VLOOKUP(C1007,Автомобили!$A$2:$G$1000,3,0)</f>
        <v/>
      </c>
      <c r="I1007">
        <f>VLOOKUP(D1007,Клиенты!$A$2:$D$1000,2,0)</f>
        <v/>
      </c>
      <c r="J1007">
        <f>IF(AND(H1007="Kaptur",I1007="Окраинов Л.Г.",YEAR(B1007)=2020),E1007,0)</f>
        <v/>
      </c>
    </row>
    <row r="1008">
      <c r="A1008" s="6" t="n">
        <v>1007</v>
      </c>
      <c r="B1008" s="13" t="n">
        <v>44082</v>
      </c>
      <c r="C1008" s="6" t="inlineStr">
        <is>
          <t>A30</t>
        </is>
      </c>
      <c r="D1008" s="6" t="n">
        <v>5</v>
      </c>
      <c r="E1008" s="15" t="n">
        <v>400</v>
      </c>
      <c r="F1008" s="5" t="inlineStr">
        <is>
          <t>нет</t>
        </is>
      </c>
      <c r="G1008" s="7" t="n"/>
      <c r="H1008">
        <f>VLOOKUP(C1008,Автомобили!$A$2:$G$1000,3,0)</f>
        <v/>
      </c>
      <c r="I1008">
        <f>VLOOKUP(D1008,Клиенты!$A$2:$D$1000,2,0)</f>
        <v/>
      </c>
      <c r="J1008">
        <f>IF(AND(H1008="Kaptur",I1008="Окраинов Л.Г.",YEAR(B1008)=2020),E1008,0)</f>
        <v/>
      </c>
    </row>
    <row r="1009">
      <c r="A1009" s="6" t="n">
        <v>1008</v>
      </c>
      <c r="B1009" s="13" t="n">
        <v>44082</v>
      </c>
      <c r="C1009" s="6" t="inlineStr">
        <is>
          <t>A28</t>
        </is>
      </c>
      <c r="D1009" s="6" t="n">
        <v>8</v>
      </c>
      <c r="E1009" s="15" t="n">
        <v>286</v>
      </c>
      <c r="F1009" s="5" t="inlineStr">
        <is>
          <t>нет</t>
        </is>
      </c>
      <c r="G1009" s="7" t="n"/>
      <c r="H1009">
        <f>VLOOKUP(C1009,Автомобили!$A$2:$G$1000,3,0)</f>
        <v/>
      </c>
      <c r="I1009">
        <f>VLOOKUP(D1009,Клиенты!$A$2:$D$1000,2,0)</f>
        <v/>
      </c>
      <c r="J1009">
        <f>IF(AND(H1009="Kaptur",I1009="Окраинов Л.Г.",YEAR(B1009)=2020),E1009,0)</f>
        <v/>
      </c>
    </row>
    <row r="1010">
      <c r="A1010" s="6" t="n">
        <v>1009</v>
      </c>
      <c r="B1010" s="13" t="n">
        <v>44083</v>
      </c>
      <c r="C1010" s="6" t="inlineStr">
        <is>
          <t>A27</t>
        </is>
      </c>
      <c r="D1010" s="6" t="n">
        <v>5</v>
      </c>
      <c r="E1010" s="15" t="n">
        <v>268</v>
      </c>
      <c r="F1010" s="5" t="inlineStr">
        <is>
          <t>нет</t>
        </is>
      </c>
      <c r="G1010" s="7" t="n"/>
      <c r="H1010">
        <f>VLOOKUP(C1010,Автомобили!$A$2:$G$1000,3,0)</f>
        <v/>
      </c>
      <c r="I1010">
        <f>VLOOKUP(D1010,Клиенты!$A$2:$D$1000,2,0)</f>
        <v/>
      </c>
      <c r="J1010">
        <f>IF(AND(H1010="Kaptur",I1010="Окраинов Л.Г.",YEAR(B1010)=2020),E1010,0)</f>
        <v/>
      </c>
    </row>
    <row r="1011">
      <c r="A1011" s="6" t="n">
        <v>1010</v>
      </c>
      <c r="B1011" s="13" t="n">
        <v>44083</v>
      </c>
      <c r="C1011" s="6" t="inlineStr">
        <is>
          <t>A55</t>
        </is>
      </c>
      <c r="D1011" s="6" t="n">
        <v>14</v>
      </c>
      <c r="E1011" s="15" t="n">
        <v>117</v>
      </c>
      <c r="F1011" s="5" t="inlineStr">
        <is>
          <t>нет</t>
        </is>
      </c>
      <c r="G1011" s="7" t="n"/>
      <c r="H1011">
        <f>VLOOKUP(C1011,Автомобили!$A$2:$G$1000,3,0)</f>
        <v/>
      </c>
      <c r="I1011">
        <f>VLOOKUP(D1011,Клиенты!$A$2:$D$1000,2,0)</f>
        <v/>
      </c>
      <c r="J1011">
        <f>IF(AND(H1011="Kaptur",I1011="Окраинов Л.Г.",YEAR(B1011)=2020),E1011,0)</f>
        <v/>
      </c>
    </row>
    <row r="1012">
      <c r="A1012" s="6" t="n">
        <v>1011</v>
      </c>
      <c r="B1012" s="13" t="n">
        <v>44083</v>
      </c>
      <c r="C1012" s="6" t="inlineStr">
        <is>
          <t>A43</t>
        </is>
      </c>
      <c r="D1012" s="6" t="n">
        <v>9</v>
      </c>
      <c r="E1012" s="15" t="n">
        <v>437</v>
      </c>
      <c r="F1012" s="5" t="inlineStr">
        <is>
          <t>нет</t>
        </is>
      </c>
      <c r="G1012" s="7" t="n"/>
      <c r="H1012">
        <f>VLOOKUP(C1012,Автомобили!$A$2:$G$1000,3,0)</f>
        <v/>
      </c>
      <c r="I1012">
        <f>VLOOKUP(D1012,Клиенты!$A$2:$D$1000,2,0)</f>
        <v/>
      </c>
      <c r="J1012">
        <f>IF(AND(H1012="Kaptur",I1012="Окраинов Л.Г.",YEAR(B1012)=2020),E1012,0)</f>
        <v/>
      </c>
    </row>
    <row r="1013">
      <c r="A1013" s="6" t="n">
        <v>1012</v>
      </c>
      <c r="B1013" s="13" t="n">
        <v>44083</v>
      </c>
      <c r="C1013" s="6" t="inlineStr">
        <is>
          <t>A38</t>
        </is>
      </c>
      <c r="D1013" s="6" t="n">
        <v>1</v>
      </c>
      <c r="E1013" s="15" t="n">
        <v>281</v>
      </c>
      <c r="F1013" s="5" t="inlineStr">
        <is>
          <t>нет</t>
        </is>
      </c>
      <c r="G1013" s="7" t="n"/>
      <c r="H1013">
        <f>VLOOKUP(C1013,Автомобили!$A$2:$G$1000,3,0)</f>
        <v/>
      </c>
      <c r="I1013">
        <f>VLOOKUP(D1013,Клиенты!$A$2:$D$1000,2,0)</f>
        <v/>
      </c>
      <c r="J1013">
        <f>IF(AND(H1013="Kaptur",I1013="Окраинов Л.Г.",YEAR(B1013)=2020),E1013,0)</f>
        <v/>
      </c>
    </row>
    <row r="1014">
      <c r="A1014" s="6" t="n">
        <v>1013</v>
      </c>
      <c r="B1014" s="13" t="n">
        <v>44084</v>
      </c>
      <c r="C1014" s="6" t="inlineStr">
        <is>
          <t>A25</t>
        </is>
      </c>
      <c r="D1014" s="6" t="n">
        <v>1</v>
      </c>
      <c r="E1014" s="15" t="n">
        <v>171</v>
      </c>
      <c r="F1014" s="5" t="inlineStr">
        <is>
          <t>нет</t>
        </is>
      </c>
      <c r="G1014" s="7" t="n"/>
      <c r="H1014">
        <f>VLOOKUP(C1014,Автомобили!$A$2:$G$1000,3,0)</f>
        <v/>
      </c>
      <c r="I1014">
        <f>VLOOKUP(D1014,Клиенты!$A$2:$D$1000,2,0)</f>
        <v/>
      </c>
      <c r="J1014">
        <f>IF(AND(H1014="Kaptur",I1014="Окраинов Л.Г.",YEAR(B1014)=2020),E1014,0)</f>
        <v/>
      </c>
    </row>
    <row r="1015">
      <c r="A1015" s="6" t="n">
        <v>1014</v>
      </c>
      <c r="B1015" s="13" t="n">
        <v>44084</v>
      </c>
      <c r="C1015" s="6" t="inlineStr">
        <is>
          <t>A43</t>
        </is>
      </c>
      <c r="D1015" s="6" t="n">
        <v>2</v>
      </c>
      <c r="E1015" s="15" t="n">
        <v>309</v>
      </c>
      <c r="F1015" s="5" t="inlineStr">
        <is>
          <t>нет</t>
        </is>
      </c>
      <c r="G1015" s="7" t="n"/>
      <c r="H1015">
        <f>VLOOKUP(C1015,Автомобили!$A$2:$G$1000,3,0)</f>
        <v/>
      </c>
      <c r="I1015">
        <f>VLOOKUP(D1015,Клиенты!$A$2:$D$1000,2,0)</f>
        <v/>
      </c>
      <c r="J1015">
        <f>IF(AND(H1015="Kaptur",I1015="Окраинов Л.Г.",YEAR(B1015)=2020),E1015,0)</f>
        <v/>
      </c>
    </row>
    <row r="1016">
      <c r="A1016" s="6" t="n">
        <v>1015</v>
      </c>
      <c r="B1016" s="13" t="n">
        <v>44084</v>
      </c>
      <c r="C1016" s="6" t="inlineStr">
        <is>
          <t>A24</t>
        </is>
      </c>
      <c r="D1016" s="6" t="n">
        <v>12</v>
      </c>
      <c r="E1016" s="15" t="n">
        <v>89</v>
      </c>
      <c r="F1016" s="5" t="inlineStr">
        <is>
          <t>нет</t>
        </is>
      </c>
      <c r="G1016" s="7" t="n"/>
      <c r="H1016">
        <f>VLOOKUP(C1016,Автомобили!$A$2:$G$1000,3,0)</f>
        <v/>
      </c>
      <c r="I1016">
        <f>VLOOKUP(D1016,Клиенты!$A$2:$D$1000,2,0)</f>
        <v/>
      </c>
      <c r="J1016">
        <f>IF(AND(H1016="Kaptur",I1016="Окраинов Л.Г.",YEAR(B1016)=2020),E1016,0)</f>
        <v/>
      </c>
    </row>
    <row r="1017">
      <c r="A1017" s="6" t="n">
        <v>1016</v>
      </c>
      <c r="B1017" s="13" t="n">
        <v>44084</v>
      </c>
      <c r="C1017" s="6" t="inlineStr">
        <is>
          <t>A20</t>
        </is>
      </c>
      <c r="D1017" s="6" t="n">
        <v>1</v>
      </c>
      <c r="E1017" s="15" t="n">
        <v>368</v>
      </c>
      <c r="F1017" s="5" t="inlineStr">
        <is>
          <t>нет</t>
        </is>
      </c>
      <c r="G1017" s="7" t="n"/>
      <c r="H1017">
        <f>VLOOKUP(C1017,Автомобили!$A$2:$G$1000,3,0)</f>
        <v/>
      </c>
      <c r="I1017">
        <f>VLOOKUP(D1017,Клиенты!$A$2:$D$1000,2,0)</f>
        <v/>
      </c>
      <c r="J1017">
        <f>IF(AND(H1017="Kaptur",I1017="Окраинов Л.Г.",YEAR(B1017)=2020),E1017,0)</f>
        <v/>
      </c>
    </row>
    <row r="1018">
      <c r="A1018" s="6" t="n">
        <v>1017</v>
      </c>
      <c r="B1018" s="13" t="n">
        <v>44085</v>
      </c>
      <c r="C1018" s="6" t="inlineStr">
        <is>
          <t>A3</t>
        </is>
      </c>
      <c r="D1018" s="6" t="n">
        <v>9</v>
      </c>
      <c r="E1018" s="15" t="n">
        <v>201</v>
      </c>
      <c r="F1018" s="5" t="inlineStr">
        <is>
          <t>нет</t>
        </is>
      </c>
      <c r="G1018" s="7" t="n"/>
      <c r="H1018">
        <f>VLOOKUP(C1018,Автомобили!$A$2:$G$1000,3,0)</f>
        <v/>
      </c>
      <c r="I1018">
        <f>VLOOKUP(D1018,Клиенты!$A$2:$D$1000,2,0)</f>
        <v/>
      </c>
      <c r="J1018">
        <f>IF(AND(H1018="Kaptur",I1018="Окраинов Л.Г.",YEAR(B1018)=2020),E1018,0)</f>
        <v/>
      </c>
    </row>
    <row r="1019">
      <c r="A1019" s="6" t="n">
        <v>1018</v>
      </c>
      <c r="B1019" s="13" t="n">
        <v>44085</v>
      </c>
      <c r="C1019" s="6" t="inlineStr">
        <is>
          <t>A33</t>
        </is>
      </c>
      <c r="D1019" s="6" t="n">
        <v>8</v>
      </c>
      <c r="E1019" s="15" t="n">
        <v>279</v>
      </c>
      <c r="F1019" s="5" t="inlineStr">
        <is>
          <t>нет</t>
        </is>
      </c>
      <c r="G1019" s="7" t="n"/>
      <c r="H1019">
        <f>VLOOKUP(C1019,Автомобили!$A$2:$G$1000,3,0)</f>
        <v/>
      </c>
      <c r="I1019">
        <f>VLOOKUP(D1019,Клиенты!$A$2:$D$1000,2,0)</f>
        <v/>
      </c>
      <c r="J1019">
        <f>IF(AND(H1019="Kaptur",I1019="Окраинов Л.Г.",YEAR(B1019)=2020),E1019,0)</f>
        <v/>
      </c>
    </row>
    <row r="1020">
      <c r="A1020" s="6" t="n">
        <v>1019</v>
      </c>
      <c r="B1020" s="13" t="n">
        <v>44085</v>
      </c>
      <c r="C1020" s="6" t="inlineStr">
        <is>
          <t>A62</t>
        </is>
      </c>
      <c r="D1020" s="6" t="n">
        <v>2</v>
      </c>
      <c r="E1020" s="15" t="n">
        <v>194</v>
      </c>
      <c r="F1020" s="5" t="inlineStr">
        <is>
          <t>нет</t>
        </is>
      </c>
      <c r="G1020" s="7" t="n"/>
      <c r="H1020">
        <f>VLOOKUP(C1020,Автомобили!$A$2:$G$1000,3,0)</f>
        <v/>
      </c>
      <c r="I1020">
        <f>VLOOKUP(D1020,Клиенты!$A$2:$D$1000,2,0)</f>
        <v/>
      </c>
      <c r="J1020">
        <f>IF(AND(H1020="Kaptur",I1020="Окраинов Л.Г.",YEAR(B1020)=2020),E1020,0)</f>
        <v/>
      </c>
    </row>
    <row r="1021">
      <c r="A1021" s="6" t="n">
        <v>1020</v>
      </c>
      <c r="B1021" s="13" t="n">
        <v>44085</v>
      </c>
      <c r="C1021" s="6" t="inlineStr">
        <is>
          <t>A13</t>
        </is>
      </c>
      <c r="D1021" s="6" t="n">
        <v>7</v>
      </c>
      <c r="E1021" s="15" t="n">
        <v>71</v>
      </c>
      <c r="F1021" s="5" t="inlineStr">
        <is>
          <t>нет</t>
        </is>
      </c>
      <c r="G1021" s="7" t="n"/>
      <c r="H1021">
        <f>VLOOKUP(C1021,Автомобили!$A$2:$G$1000,3,0)</f>
        <v/>
      </c>
      <c r="I1021">
        <f>VLOOKUP(D1021,Клиенты!$A$2:$D$1000,2,0)</f>
        <v/>
      </c>
      <c r="J1021">
        <f>IF(AND(H1021="Kaptur",I1021="Окраинов Л.Г.",YEAR(B1021)=2020),E1021,0)</f>
        <v/>
      </c>
    </row>
    <row r="1022">
      <c r="A1022" s="6" t="n">
        <v>1021</v>
      </c>
      <c r="B1022" s="13" t="n">
        <v>44086</v>
      </c>
      <c r="C1022" s="6" t="inlineStr">
        <is>
          <t>A29</t>
        </is>
      </c>
      <c r="D1022" s="6" t="n">
        <v>4</v>
      </c>
      <c r="E1022" s="15" t="n">
        <v>313</v>
      </c>
      <c r="F1022" s="5" t="inlineStr">
        <is>
          <t>нет</t>
        </is>
      </c>
      <c r="G1022" s="7" t="n"/>
      <c r="H1022">
        <f>VLOOKUP(C1022,Автомобили!$A$2:$G$1000,3,0)</f>
        <v/>
      </c>
      <c r="I1022">
        <f>VLOOKUP(D1022,Клиенты!$A$2:$D$1000,2,0)</f>
        <v/>
      </c>
      <c r="J1022">
        <f>IF(AND(H1022="Kaptur",I1022="Окраинов Л.Г.",YEAR(B1022)=2020),E1022,0)</f>
        <v/>
      </c>
    </row>
    <row r="1023">
      <c r="A1023" s="6" t="n">
        <v>1022</v>
      </c>
      <c r="B1023" s="13" t="n">
        <v>44086</v>
      </c>
      <c r="C1023" s="6" t="inlineStr">
        <is>
          <t>A34</t>
        </is>
      </c>
      <c r="D1023" s="6" t="n">
        <v>13</v>
      </c>
      <c r="E1023" s="15" t="n">
        <v>268</v>
      </c>
      <c r="F1023" s="5" t="inlineStr">
        <is>
          <t>нет</t>
        </is>
      </c>
      <c r="G1023" s="7" t="n"/>
      <c r="H1023">
        <f>VLOOKUP(C1023,Автомобили!$A$2:$G$1000,3,0)</f>
        <v/>
      </c>
      <c r="I1023">
        <f>VLOOKUP(D1023,Клиенты!$A$2:$D$1000,2,0)</f>
        <v/>
      </c>
      <c r="J1023">
        <f>IF(AND(H1023="Kaptur",I1023="Окраинов Л.Г.",YEAR(B1023)=2020),E1023,0)</f>
        <v/>
      </c>
    </row>
    <row r="1024">
      <c r="A1024" s="6" t="n">
        <v>1023</v>
      </c>
      <c r="B1024" s="13" t="n">
        <v>44086</v>
      </c>
      <c r="C1024" s="6" t="inlineStr">
        <is>
          <t>A3</t>
        </is>
      </c>
      <c r="D1024" s="6" t="n">
        <v>13</v>
      </c>
      <c r="E1024" s="15" t="n">
        <v>202</v>
      </c>
      <c r="F1024" s="5" t="inlineStr">
        <is>
          <t>нет</t>
        </is>
      </c>
      <c r="G1024" s="7" t="n"/>
      <c r="H1024">
        <f>VLOOKUP(C1024,Автомобили!$A$2:$G$1000,3,0)</f>
        <v/>
      </c>
      <c r="I1024">
        <f>VLOOKUP(D1024,Клиенты!$A$2:$D$1000,2,0)</f>
        <v/>
      </c>
      <c r="J1024">
        <f>IF(AND(H1024="Kaptur",I1024="Окраинов Л.Г.",YEAR(B1024)=2020),E1024,0)</f>
        <v/>
      </c>
    </row>
    <row r="1025">
      <c r="A1025" s="6" t="n">
        <v>1024</v>
      </c>
      <c r="B1025" s="13" t="n">
        <v>44086</v>
      </c>
      <c r="C1025" s="6" t="inlineStr">
        <is>
          <t>A14</t>
        </is>
      </c>
      <c r="D1025" s="6" t="n">
        <v>4</v>
      </c>
      <c r="E1025" s="15" t="n">
        <v>444</v>
      </c>
      <c r="F1025" s="5" t="inlineStr">
        <is>
          <t>нет</t>
        </is>
      </c>
      <c r="G1025" s="7" t="n"/>
      <c r="H1025">
        <f>VLOOKUP(C1025,Автомобили!$A$2:$G$1000,3,0)</f>
        <v/>
      </c>
      <c r="I1025">
        <f>VLOOKUP(D1025,Клиенты!$A$2:$D$1000,2,0)</f>
        <v/>
      </c>
      <c r="J1025">
        <f>IF(AND(H1025="Kaptur",I1025="Окраинов Л.Г.",YEAR(B1025)=2020),E1025,0)</f>
        <v/>
      </c>
    </row>
    <row r="1026">
      <c r="A1026" s="6" t="n">
        <v>1025</v>
      </c>
      <c r="B1026" s="13" t="n">
        <v>44087</v>
      </c>
      <c r="C1026" s="6" t="inlineStr">
        <is>
          <t>A40</t>
        </is>
      </c>
      <c r="D1026" s="6" t="n">
        <v>7</v>
      </c>
      <c r="E1026" s="15" t="n">
        <v>192</v>
      </c>
      <c r="F1026" s="5" t="inlineStr">
        <is>
          <t>нет</t>
        </is>
      </c>
      <c r="G1026" s="7" t="n"/>
      <c r="H1026">
        <f>VLOOKUP(C1026,Автомобили!$A$2:$G$1000,3,0)</f>
        <v/>
      </c>
      <c r="I1026">
        <f>VLOOKUP(D1026,Клиенты!$A$2:$D$1000,2,0)</f>
        <v/>
      </c>
      <c r="J1026">
        <f>IF(AND(H1026="Kaptur",I1026="Окраинов Л.Г.",YEAR(B1026)=2020),E1026,0)</f>
        <v/>
      </c>
    </row>
    <row r="1027">
      <c r="A1027" s="6" t="n">
        <v>1026</v>
      </c>
      <c r="B1027" s="13" t="n">
        <v>44087</v>
      </c>
      <c r="C1027" s="6" t="inlineStr">
        <is>
          <t>A28</t>
        </is>
      </c>
      <c r="D1027" s="6" t="n">
        <v>1</v>
      </c>
      <c r="E1027" s="15" t="n">
        <v>403</v>
      </c>
      <c r="F1027" s="5" t="inlineStr">
        <is>
          <t>нет</t>
        </is>
      </c>
      <c r="G1027" s="7" t="n"/>
      <c r="H1027">
        <f>VLOOKUP(C1027,Автомобили!$A$2:$G$1000,3,0)</f>
        <v/>
      </c>
      <c r="I1027">
        <f>VLOOKUP(D1027,Клиенты!$A$2:$D$1000,2,0)</f>
        <v/>
      </c>
      <c r="J1027">
        <f>IF(AND(H1027="Kaptur",I1027="Окраинов Л.Г.",YEAR(B1027)=2020),E1027,0)</f>
        <v/>
      </c>
    </row>
    <row r="1028">
      <c r="A1028" s="6" t="n">
        <v>1027</v>
      </c>
      <c r="B1028" s="13" t="n">
        <v>44087</v>
      </c>
      <c r="C1028" s="6" t="inlineStr">
        <is>
          <t>A17</t>
        </is>
      </c>
      <c r="D1028" s="6" t="n">
        <v>15</v>
      </c>
      <c r="E1028" s="15" t="n">
        <v>95</v>
      </c>
      <c r="F1028" s="5" t="inlineStr">
        <is>
          <t>нет</t>
        </is>
      </c>
      <c r="G1028" s="7" t="n"/>
      <c r="H1028">
        <f>VLOOKUP(C1028,Автомобили!$A$2:$G$1000,3,0)</f>
        <v/>
      </c>
      <c r="I1028">
        <f>VLOOKUP(D1028,Клиенты!$A$2:$D$1000,2,0)</f>
        <v/>
      </c>
      <c r="J1028">
        <f>IF(AND(H1028="Kaptur",I1028="Окраинов Л.Г.",YEAR(B1028)=2020),E1028,0)</f>
        <v/>
      </c>
    </row>
    <row r="1029">
      <c r="A1029" s="6" t="n">
        <v>1028</v>
      </c>
      <c r="B1029" s="13" t="n">
        <v>44087</v>
      </c>
      <c r="C1029" s="6" t="inlineStr">
        <is>
          <t>A43</t>
        </is>
      </c>
      <c r="D1029" s="6" t="n">
        <v>15</v>
      </c>
      <c r="E1029" s="15" t="n">
        <v>87</v>
      </c>
      <c r="F1029" s="5" t="inlineStr">
        <is>
          <t>нет</t>
        </is>
      </c>
      <c r="G1029" s="7" t="n"/>
      <c r="H1029">
        <f>VLOOKUP(C1029,Автомобили!$A$2:$G$1000,3,0)</f>
        <v/>
      </c>
      <c r="I1029">
        <f>VLOOKUP(D1029,Клиенты!$A$2:$D$1000,2,0)</f>
        <v/>
      </c>
      <c r="J1029">
        <f>IF(AND(H1029="Kaptur",I1029="Окраинов Л.Г.",YEAR(B1029)=2020),E1029,0)</f>
        <v/>
      </c>
    </row>
    <row r="1030">
      <c r="A1030" s="6" t="n">
        <v>1029</v>
      </c>
      <c r="B1030" s="13" t="n">
        <v>44088</v>
      </c>
      <c r="C1030" s="6" t="inlineStr">
        <is>
          <t>A13</t>
        </is>
      </c>
      <c r="D1030" s="6" t="n">
        <v>5</v>
      </c>
      <c r="E1030" s="15" t="n">
        <v>419</v>
      </c>
      <c r="F1030" s="5" t="inlineStr">
        <is>
          <t>нет</t>
        </is>
      </c>
      <c r="G1030" s="7" t="n"/>
      <c r="H1030">
        <f>VLOOKUP(C1030,Автомобили!$A$2:$G$1000,3,0)</f>
        <v/>
      </c>
      <c r="I1030">
        <f>VLOOKUP(D1030,Клиенты!$A$2:$D$1000,2,0)</f>
        <v/>
      </c>
      <c r="J1030">
        <f>IF(AND(H1030="Kaptur",I1030="Окраинов Л.Г.",YEAR(B1030)=2020),E1030,0)</f>
        <v/>
      </c>
    </row>
    <row r="1031">
      <c r="A1031" s="6" t="n">
        <v>1030</v>
      </c>
      <c r="B1031" s="13" t="n">
        <v>44088</v>
      </c>
      <c r="C1031" s="6" t="inlineStr">
        <is>
          <t>A4</t>
        </is>
      </c>
      <c r="D1031" s="6" t="n">
        <v>1</v>
      </c>
      <c r="E1031" s="15" t="n">
        <v>108</v>
      </c>
      <c r="F1031" s="5" t="inlineStr">
        <is>
          <t>нет</t>
        </is>
      </c>
      <c r="G1031" s="7" t="n"/>
      <c r="H1031">
        <f>VLOOKUP(C1031,Автомобили!$A$2:$G$1000,3,0)</f>
        <v/>
      </c>
      <c r="I1031">
        <f>VLOOKUP(D1031,Клиенты!$A$2:$D$1000,2,0)</f>
        <v/>
      </c>
      <c r="J1031">
        <f>IF(AND(H1031="Kaptur",I1031="Окраинов Л.Г.",YEAR(B1031)=2020),E1031,0)</f>
        <v/>
      </c>
    </row>
    <row r="1032">
      <c r="A1032" s="6" t="n">
        <v>1031</v>
      </c>
      <c r="B1032" s="13" t="n">
        <v>44088</v>
      </c>
      <c r="C1032" s="6" t="inlineStr">
        <is>
          <t>A30</t>
        </is>
      </c>
      <c r="D1032" s="6" t="n">
        <v>6</v>
      </c>
      <c r="E1032" s="15" t="n">
        <v>180</v>
      </c>
      <c r="F1032" s="5" t="inlineStr">
        <is>
          <t>нет</t>
        </is>
      </c>
      <c r="G1032" s="7" t="n"/>
      <c r="H1032">
        <f>VLOOKUP(C1032,Автомобили!$A$2:$G$1000,3,0)</f>
        <v/>
      </c>
      <c r="I1032">
        <f>VLOOKUP(D1032,Клиенты!$A$2:$D$1000,2,0)</f>
        <v/>
      </c>
      <c r="J1032">
        <f>IF(AND(H1032="Kaptur",I1032="Окраинов Л.Г.",YEAR(B1032)=2020),E1032,0)</f>
        <v/>
      </c>
    </row>
    <row r="1033">
      <c r="A1033" s="6" t="n">
        <v>1032</v>
      </c>
      <c r="B1033" s="13" t="n">
        <v>44088</v>
      </c>
      <c r="C1033" s="6" t="inlineStr">
        <is>
          <t>A58</t>
        </is>
      </c>
      <c r="D1033" s="6" t="n">
        <v>13</v>
      </c>
      <c r="E1033" s="15" t="n">
        <v>209</v>
      </c>
      <c r="F1033" s="5" t="inlineStr">
        <is>
          <t>нет</t>
        </is>
      </c>
      <c r="G1033" s="7" t="n"/>
      <c r="H1033">
        <f>VLOOKUP(C1033,Автомобили!$A$2:$G$1000,3,0)</f>
        <v/>
      </c>
      <c r="I1033">
        <f>VLOOKUP(D1033,Клиенты!$A$2:$D$1000,2,0)</f>
        <v/>
      </c>
      <c r="J1033">
        <f>IF(AND(H1033="Kaptur",I1033="Окраинов Л.Г.",YEAR(B1033)=2020),E1033,0)</f>
        <v/>
      </c>
    </row>
    <row r="1034">
      <c r="A1034" s="6" t="n">
        <v>1033</v>
      </c>
      <c r="B1034" s="13" t="n">
        <v>44089</v>
      </c>
      <c r="C1034" s="6" t="inlineStr">
        <is>
          <t>A40</t>
        </is>
      </c>
      <c r="D1034" s="6" t="n">
        <v>15</v>
      </c>
      <c r="E1034" s="15" t="n">
        <v>296</v>
      </c>
      <c r="F1034" s="5" t="inlineStr">
        <is>
          <t>нет</t>
        </is>
      </c>
      <c r="G1034" s="7" t="n"/>
      <c r="H1034">
        <f>VLOOKUP(C1034,Автомобили!$A$2:$G$1000,3,0)</f>
        <v/>
      </c>
      <c r="I1034">
        <f>VLOOKUP(D1034,Клиенты!$A$2:$D$1000,2,0)</f>
        <v/>
      </c>
      <c r="J1034">
        <f>IF(AND(H1034="Kaptur",I1034="Окраинов Л.Г.",YEAR(B1034)=2020),E1034,0)</f>
        <v/>
      </c>
    </row>
    <row r="1035">
      <c r="A1035" s="6" t="n">
        <v>1034</v>
      </c>
      <c r="B1035" s="13" t="n">
        <v>44089</v>
      </c>
      <c r="C1035" s="6" t="inlineStr">
        <is>
          <t>A13</t>
        </is>
      </c>
      <c r="D1035" s="6" t="n">
        <v>1</v>
      </c>
      <c r="E1035" s="15" t="n">
        <v>216</v>
      </c>
      <c r="F1035" s="5" t="inlineStr">
        <is>
          <t>нет</t>
        </is>
      </c>
      <c r="G1035" s="7" t="n"/>
      <c r="H1035">
        <f>VLOOKUP(C1035,Автомобили!$A$2:$G$1000,3,0)</f>
        <v/>
      </c>
      <c r="I1035">
        <f>VLOOKUP(D1035,Клиенты!$A$2:$D$1000,2,0)</f>
        <v/>
      </c>
      <c r="J1035">
        <f>IF(AND(H1035="Kaptur",I1035="Окраинов Л.Г.",YEAR(B1035)=2020),E1035,0)</f>
        <v/>
      </c>
    </row>
    <row r="1036">
      <c r="A1036" s="6" t="n">
        <v>1035</v>
      </c>
      <c r="B1036" s="13" t="n">
        <v>44089</v>
      </c>
      <c r="C1036" s="6" t="inlineStr">
        <is>
          <t>A36</t>
        </is>
      </c>
      <c r="D1036" s="6" t="n">
        <v>5</v>
      </c>
      <c r="E1036" s="15" t="n">
        <v>308</v>
      </c>
      <c r="F1036" s="5" t="inlineStr">
        <is>
          <t>нет</t>
        </is>
      </c>
      <c r="G1036" s="7" t="n"/>
      <c r="H1036">
        <f>VLOOKUP(C1036,Автомобили!$A$2:$G$1000,3,0)</f>
        <v/>
      </c>
      <c r="I1036">
        <f>VLOOKUP(D1036,Клиенты!$A$2:$D$1000,2,0)</f>
        <v/>
      </c>
      <c r="J1036">
        <f>IF(AND(H1036="Kaptur",I1036="Окраинов Л.Г.",YEAR(B1036)=2020),E1036,0)</f>
        <v/>
      </c>
    </row>
    <row r="1037">
      <c r="A1037" s="6" t="n">
        <v>1036</v>
      </c>
      <c r="B1037" s="13" t="n">
        <v>44089</v>
      </c>
      <c r="C1037" s="6" t="inlineStr">
        <is>
          <t>A18</t>
        </is>
      </c>
      <c r="D1037" s="6" t="n">
        <v>9</v>
      </c>
      <c r="E1037" s="15" t="n">
        <v>274</v>
      </c>
      <c r="F1037" s="5" t="inlineStr">
        <is>
          <t>нет</t>
        </is>
      </c>
      <c r="G1037" s="7" t="n"/>
      <c r="H1037">
        <f>VLOOKUP(C1037,Автомобили!$A$2:$G$1000,3,0)</f>
        <v/>
      </c>
      <c r="I1037">
        <f>VLOOKUP(D1037,Клиенты!$A$2:$D$1000,2,0)</f>
        <v/>
      </c>
      <c r="J1037">
        <f>IF(AND(H1037="Kaptur",I1037="Окраинов Л.Г.",YEAR(B1037)=2020),E1037,0)</f>
        <v/>
      </c>
    </row>
    <row r="1038">
      <c r="A1038" s="6" t="n">
        <v>1037</v>
      </c>
      <c r="B1038" s="13" t="n">
        <v>44090</v>
      </c>
      <c r="C1038" s="6" t="inlineStr">
        <is>
          <t>A41</t>
        </is>
      </c>
      <c r="D1038" s="6" t="n">
        <v>9</v>
      </c>
      <c r="E1038" s="15" t="n">
        <v>148</v>
      </c>
      <c r="F1038" s="5" t="inlineStr">
        <is>
          <t>нет</t>
        </is>
      </c>
      <c r="G1038" s="7" t="n"/>
      <c r="H1038">
        <f>VLOOKUP(C1038,Автомобили!$A$2:$G$1000,3,0)</f>
        <v/>
      </c>
      <c r="I1038">
        <f>VLOOKUP(D1038,Клиенты!$A$2:$D$1000,2,0)</f>
        <v/>
      </c>
      <c r="J1038">
        <f>IF(AND(H1038="Kaptur",I1038="Окраинов Л.Г.",YEAR(B1038)=2020),E1038,0)</f>
        <v/>
      </c>
    </row>
    <row r="1039">
      <c r="A1039" s="6" t="n">
        <v>1038</v>
      </c>
      <c r="B1039" s="13" t="n">
        <v>44090</v>
      </c>
      <c r="C1039" s="6" t="inlineStr">
        <is>
          <t>A26</t>
        </is>
      </c>
      <c r="D1039" s="6" t="n">
        <v>6</v>
      </c>
      <c r="E1039" s="15" t="n">
        <v>156</v>
      </c>
      <c r="F1039" s="5" t="inlineStr">
        <is>
          <t>нет</t>
        </is>
      </c>
      <c r="G1039" s="7" t="n"/>
      <c r="H1039">
        <f>VLOOKUP(C1039,Автомобили!$A$2:$G$1000,3,0)</f>
        <v/>
      </c>
      <c r="I1039">
        <f>VLOOKUP(D1039,Клиенты!$A$2:$D$1000,2,0)</f>
        <v/>
      </c>
      <c r="J1039">
        <f>IF(AND(H1039="Kaptur",I1039="Окраинов Л.Г.",YEAR(B1039)=2020),E1039,0)</f>
        <v/>
      </c>
    </row>
    <row r="1040">
      <c r="A1040" s="6" t="n">
        <v>1039</v>
      </c>
      <c r="B1040" s="13" t="n">
        <v>44090</v>
      </c>
      <c r="C1040" s="6" t="inlineStr">
        <is>
          <t>A35</t>
        </is>
      </c>
      <c r="D1040" s="6" t="n">
        <v>3</v>
      </c>
      <c r="E1040" s="15" t="n">
        <v>77</v>
      </c>
      <c r="F1040" s="5" t="inlineStr">
        <is>
          <t>нет</t>
        </is>
      </c>
      <c r="G1040" s="7" t="n"/>
      <c r="H1040">
        <f>VLOOKUP(C1040,Автомобили!$A$2:$G$1000,3,0)</f>
        <v/>
      </c>
      <c r="I1040">
        <f>VLOOKUP(D1040,Клиенты!$A$2:$D$1000,2,0)</f>
        <v/>
      </c>
      <c r="J1040">
        <f>IF(AND(H1040="Kaptur",I1040="Окраинов Л.Г.",YEAR(B1040)=2020),E1040,0)</f>
        <v/>
      </c>
    </row>
    <row r="1041">
      <c r="A1041" s="6" t="n">
        <v>1040</v>
      </c>
      <c r="B1041" s="13" t="n">
        <v>44090</v>
      </c>
      <c r="C1041" s="6" t="inlineStr">
        <is>
          <t>A48</t>
        </is>
      </c>
      <c r="D1041" s="6" t="n">
        <v>5</v>
      </c>
      <c r="E1041" s="15" t="n">
        <v>360</v>
      </c>
      <c r="F1041" s="5" t="inlineStr">
        <is>
          <t>нет</t>
        </is>
      </c>
      <c r="G1041" s="7" t="n"/>
      <c r="H1041">
        <f>VLOOKUP(C1041,Автомобили!$A$2:$G$1000,3,0)</f>
        <v/>
      </c>
      <c r="I1041">
        <f>VLOOKUP(D1041,Клиенты!$A$2:$D$1000,2,0)</f>
        <v/>
      </c>
      <c r="J1041">
        <f>IF(AND(H1041="Kaptur",I1041="Окраинов Л.Г.",YEAR(B1041)=2020),E1041,0)</f>
        <v/>
      </c>
    </row>
    <row r="1042">
      <c r="A1042" s="6" t="n">
        <v>1041</v>
      </c>
      <c r="B1042" s="13" t="n">
        <v>44091</v>
      </c>
      <c r="C1042" s="6" t="inlineStr">
        <is>
          <t>A40</t>
        </is>
      </c>
      <c r="D1042" s="6" t="n">
        <v>8</v>
      </c>
      <c r="E1042" s="15" t="n">
        <v>418</v>
      </c>
      <c r="F1042" s="5" t="inlineStr">
        <is>
          <t>нет</t>
        </is>
      </c>
      <c r="G1042" s="7" t="n"/>
      <c r="H1042">
        <f>VLOOKUP(C1042,Автомобили!$A$2:$G$1000,3,0)</f>
        <v/>
      </c>
      <c r="I1042">
        <f>VLOOKUP(D1042,Клиенты!$A$2:$D$1000,2,0)</f>
        <v/>
      </c>
      <c r="J1042">
        <f>IF(AND(H1042="Kaptur",I1042="Окраинов Л.Г.",YEAR(B1042)=2020),E1042,0)</f>
        <v/>
      </c>
    </row>
    <row r="1043">
      <c r="A1043" s="6" t="n">
        <v>1042</v>
      </c>
      <c r="B1043" s="13" t="n">
        <v>44091</v>
      </c>
      <c r="C1043" s="6" t="inlineStr">
        <is>
          <t>A32</t>
        </is>
      </c>
      <c r="D1043" s="6" t="n">
        <v>10</v>
      </c>
      <c r="E1043" s="15" t="n">
        <v>430</v>
      </c>
      <c r="F1043" s="5" t="inlineStr">
        <is>
          <t>нет</t>
        </is>
      </c>
      <c r="G1043" s="7" t="n"/>
      <c r="H1043">
        <f>VLOOKUP(C1043,Автомобили!$A$2:$G$1000,3,0)</f>
        <v/>
      </c>
      <c r="I1043">
        <f>VLOOKUP(D1043,Клиенты!$A$2:$D$1000,2,0)</f>
        <v/>
      </c>
      <c r="J1043">
        <f>IF(AND(H1043="Kaptur",I1043="Окраинов Л.Г.",YEAR(B1043)=2020),E1043,0)</f>
        <v/>
      </c>
    </row>
    <row r="1044">
      <c r="A1044" s="6" t="n">
        <v>1043</v>
      </c>
      <c r="B1044" s="13" t="n">
        <v>44091</v>
      </c>
      <c r="C1044" s="6" t="inlineStr">
        <is>
          <t>A54</t>
        </is>
      </c>
      <c r="D1044" s="6" t="n">
        <v>2</v>
      </c>
      <c r="E1044" s="15" t="n">
        <v>102</v>
      </c>
      <c r="F1044" s="5" t="inlineStr">
        <is>
          <t>нет</t>
        </is>
      </c>
      <c r="G1044" s="7" t="n"/>
      <c r="H1044">
        <f>VLOOKUP(C1044,Автомобили!$A$2:$G$1000,3,0)</f>
        <v/>
      </c>
      <c r="I1044">
        <f>VLOOKUP(D1044,Клиенты!$A$2:$D$1000,2,0)</f>
        <v/>
      </c>
      <c r="J1044">
        <f>IF(AND(H1044="Kaptur",I1044="Окраинов Л.Г.",YEAR(B1044)=2020),E1044,0)</f>
        <v/>
      </c>
    </row>
    <row r="1045">
      <c r="A1045" s="6" t="n">
        <v>1044</v>
      </c>
      <c r="B1045" s="13" t="n">
        <v>44091</v>
      </c>
      <c r="C1045" s="6" t="inlineStr">
        <is>
          <t>A13</t>
        </is>
      </c>
      <c r="D1045" s="6" t="n">
        <v>5</v>
      </c>
      <c r="E1045" s="15" t="n">
        <v>238</v>
      </c>
      <c r="F1045" s="5" t="inlineStr">
        <is>
          <t>нет</t>
        </is>
      </c>
      <c r="G1045" s="7" t="n"/>
      <c r="H1045">
        <f>VLOOKUP(C1045,Автомобили!$A$2:$G$1000,3,0)</f>
        <v/>
      </c>
      <c r="I1045">
        <f>VLOOKUP(D1045,Клиенты!$A$2:$D$1000,2,0)</f>
        <v/>
      </c>
      <c r="J1045">
        <f>IF(AND(H1045="Kaptur",I1045="Окраинов Л.Г.",YEAR(B1045)=2020),E1045,0)</f>
        <v/>
      </c>
    </row>
    <row r="1046">
      <c r="A1046" s="6" t="n">
        <v>1045</v>
      </c>
      <c r="B1046" s="13" t="n">
        <v>44092</v>
      </c>
      <c r="C1046" s="6" t="inlineStr">
        <is>
          <t>A34</t>
        </is>
      </c>
      <c r="D1046" s="6" t="n">
        <v>5</v>
      </c>
      <c r="E1046" s="15" t="n">
        <v>146</v>
      </c>
      <c r="F1046" s="5" t="inlineStr">
        <is>
          <t>нет</t>
        </is>
      </c>
      <c r="G1046" s="7" t="n"/>
      <c r="H1046">
        <f>VLOOKUP(C1046,Автомобили!$A$2:$G$1000,3,0)</f>
        <v/>
      </c>
      <c r="I1046">
        <f>VLOOKUP(D1046,Клиенты!$A$2:$D$1000,2,0)</f>
        <v/>
      </c>
      <c r="J1046">
        <f>IF(AND(H1046="Kaptur",I1046="Окраинов Л.Г.",YEAR(B1046)=2020),E1046,0)</f>
        <v/>
      </c>
    </row>
    <row r="1047">
      <c r="A1047" s="6" t="n">
        <v>1046</v>
      </c>
      <c r="B1047" s="13" t="n">
        <v>44092</v>
      </c>
      <c r="C1047" s="6" t="inlineStr">
        <is>
          <t>A38</t>
        </is>
      </c>
      <c r="D1047" s="6" t="n">
        <v>1</v>
      </c>
      <c r="E1047" s="15" t="n">
        <v>227</v>
      </c>
      <c r="F1047" s="5" t="inlineStr">
        <is>
          <t>нет</t>
        </is>
      </c>
      <c r="G1047" s="7" t="n"/>
      <c r="H1047">
        <f>VLOOKUP(C1047,Автомобили!$A$2:$G$1000,3,0)</f>
        <v/>
      </c>
      <c r="I1047">
        <f>VLOOKUP(D1047,Клиенты!$A$2:$D$1000,2,0)</f>
        <v/>
      </c>
      <c r="J1047">
        <f>IF(AND(H1047="Kaptur",I1047="Окраинов Л.Г.",YEAR(B1047)=2020),E1047,0)</f>
        <v/>
      </c>
    </row>
    <row r="1048">
      <c r="A1048" s="6" t="n">
        <v>1047</v>
      </c>
      <c r="B1048" s="13" t="n">
        <v>44092</v>
      </c>
      <c r="C1048" s="6" t="inlineStr">
        <is>
          <t>A4</t>
        </is>
      </c>
      <c r="D1048" s="6" t="n">
        <v>13</v>
      </c>
      <c r="E1048" s="15" t="n">
        <v>433</v>
      </c>
      <c r="F1048" s="5" t="inlineStr">
        <is>
          <t>нет</t>
        </is>
      </c>
      <c r="G1048" s="7" t="n"/>
      <c r="H1048">
        <f>VLOOKUP(C1048,Автомобили!$A$2:$G$1000,3,0)</f>
        <v/>
      </c>
      <c r="I1048">
        <f>VLOOKUP(D1048,Клиенты!$A$2:$D$1000,2,0)</f>
        <v/>
      </c>
      <c r="J1048">
        <f>IF(AND(H1048="Kaptur",I1048="Окраинов Л.Г.",YEAR(B1048)=2020),E1048,0)</f>
        <v/>
      </c>
    </row>
    <row r="1049">
      <c r="A1049" s="6" t="n">
        <v>1048</v>
      </c>
      <c r="B1049" s="13" t="n">
        <v>44092</v>
      </c>
      <c r="C1049" s="6" t="inlineStr">
        <is>
          <t>A45</t>
        </is>
      </c>
      <c r="D1049" s="6" t="n">
        <v>6</v>
      </c>
      <c r="E1049" s="15" t="n">
        <v>137</v>
      </c>
      <c r="F1049" s="5" t="inlineStr">
        <is>
          <t>нет</t>
        </is>
      </c>
      <c r="G1049" s="7" t="n"/>
      <c r="H1049">
        <f>VLOOKUP(C1049,Автомобили!$A$2:$G$1000,3,0)</f>
        <v/>
      </c>
      <c r="I1049">
        <f>VLOOKUP(D1049,Клиенты!$A$2:$D$1000,2,0)</f>
        <v/>
      </c>
      <c r="J1049">
        <f>IF(AND(H1049="Kaptur",I1049="Окраинов Л.Г.",YEAR(B1049)=2020),E1049,0)</f>
        <v/>
      </c>
    </row>
    <row r="1050">
      <c r="A1050" s="6" t="n">
        <v>1049</v>
      </c>
      <c r="B1050" s="13" t="n">
        <v>44093</v>
      </c>
      <c r="C1050" s="6" t="inlineStr">
        <is>
          <t>A20</t>
        </is>
      </c>
      <c r="D1050" s="6" t="n">
        <v>14</v>
      </c>
      <c r="E1050" s="15" t="n">
        <v>273</v>
      </c>
      <c r="F1050" s="5" t="inlineStr">
        <is>
          <t>нет</t>
        </is>
      </c>
      <c r="G1050" s="7" t="n"/>
      <c r="H1050">
        <f>VLOOKUP(C1050,Автомобили!$A$2:$G$1000,3,0)</f>
        <v/>
      </c>
      <c r="I1050">
        <f>VLOOKUP(D1050,Клиенты!$A$2:$D$1000,2,0)</f>
        <v/>
      </c>
      <c r="J1050">
        <f>IF(AND(H1050="Kaptur",I1050="Окраинов Л.Г.",YEAR(B1050)=2020),E1050,0)</f>
        <v/>
      </c>
    </row>
    <row r="1051">
      <c r="A1051" s="6" t="n">
        <v>1050</v>
      </c>
      <c r="B1051" s="13" t="n">
        <v>44093</v>
      </c>
      <c r="C1051" s="6" t="inlineStr">
        <is>
          <t>A60</t>
        </is>
      </c>
      <c r="D1051" s="6" t="n">
        <v>15</v>
      </c>
      <c r="E1051" s="15" t="n">
        <v>319</v>
      </c>
      <c r="F1051" s="5" t="inlineStr">
        <is>
          <t>нет</t>
        </is>
      </c>
      <c r="G1051" s="7" t="n"/>
      <c r="H1051">
        <f>VLOOKUP(C1051,Автомобили!$A$2:$G$1000,3,0)</f>
        <v/>
      </c>
      <c r="I1051">
        <f>VLOOKUP(D1051,Клиенты!$A$2:$D$1000,2,0)</f>
        <v/>
      </c>
      <c r="J1051">
        <f>IF(AND(H1051="Kaptur",I1051="Окраинов Л.Г.",YEAR(B1051)=2020),E1051,0)</f>
        <v/>
      </c>
    </row>
    <row r="1052">
      <c r="A1052" s="6" t="n">
        <v>1051</v>
      </c>
      <c r="B1052" s="13" t="n">
        <v>44093</v>
      </c>
      <c r="C1052" s="6" t="inlineStr">
        <is>
          <t>A65</t>
        </is>
      </c>
      <c r="D1052" s="6" t="n">
        <v>12</v>
      </c>
      <c r="E1052" s="15" t="n">
        <v>376</v>
      </c>
      <c r="F1052" s="5" t="inlineStr">
        <is>
          <t>нет</t>
        </is>
      </c>
      <c r="G1052" s="7" t="n"/>
      <c r="H1052">
        <f>VLOOKUP(C1052,Автомобили!$A$2:$G$1000,3,0)</f>
        <v/>
      </c>
      <c r="I1052">
        <f>VLOOKUP(D1052,Клиенты!$A$2:$D$1000,2,0)</f>
        <v/>
      </c>
      <c r="J1052">
        <f>IF(AND(H1052="Kaptur",I1052="Окраинов Л.Г.",YEAR(B1052)=2020),E1052,0)</f>
        <v/>
      </c>
    </row>
    <row r="1053">
      <c r="A1053" s="6" t="n">
        <v>1052</v>
      </c>
      <c r="B1053" s="13" t="n">
        <v>44093</v>
      </c>
      <c r="C1053" s="6" t="inlineStr">
        <is>
          <t>A40</t>
        </is>
      </c>
      <c r="D1053" s="6" t="n">
        <v>7</v>
      </c>
      <c r="E1053" s="15" t="n">
        <v>255</v>
      </c>
      <c r="F1053" s="5" t="inlineStr">
        <is>
          <t>нет</t>
        </is>
      </c>
      <c r="G1053" s="7" t="n"/>
      <c r="H1053">
        <f>VLOOKUP(C1053,Автомобили!$A$2:$G$1000,3,0)</f>
        <v/>
      </c>
      <c r="I1053">
        <f>VLOOKUP(D1053,Клиенты!$A$2:$D$1000,2,0)</f>
        <v/>
      </c>
      <c r="J1053">
        <f>IF(AND(H1053="Kaptur",I1053="Окраинов Л.Г.",YEAR(B1053)=2020),E1053,0)</f>
        <v/>
      </c>
    </row>
    <row r="1054">
      <c r="A1054" s="6" t="n">
        <v>1053</v>
      </c>
      <c r="B1054" s="13" t="n">
        <v>44094</v>
      </c>
      <c r="C1054" s="6" t="inlineStr">
        <is>
          <t>A55</t>
        </is>
      </c>
      <c r="D1054" s="6" t="n">
        <v>8</v>
      </c>
      <c r="E1054" s="15" t="n">
        <v>97</v>
      </c>
      <c r="F1054" s="5" t="inlineStr">
        <is>
          <t>нет</t>
        </is>
      </c>
      <c r="G1054" s="7" t="n"/>
      <c r="H1054">
        <f>VLOOKUP(C1054,Автомобили!$A$2:$G$1000,3,0)</f>
        <v/>
      </c>
      <c r="I1054">
        <f>VLOOKUP(D1054,Клиенты!$A$2:$D$1000,2,0)</f>
        <v/>
      </c>
      <c r="J1054">
        <f>IF(AND(H1054="Kaptur",I1054="Окраинов Л.Г.",YEAR(B1054)=2020),E1054,0)</f>
        <v/>
      </c>
    </row>
    <row r="1055">
      <c r="A1055" s="6" t="n">
        <v>1054</v>
      </c>
      <c r="B1055" s="13" t="n">
        <v>44094</v>
      </c>
      <c r="C1055" s="6" t="inlineStr">
        <is>
          <t>A2</t>
        </is>
      </c>
      <c r="D1055" s="6" t="n">
        <v>14</v>
      </c>
      <c r="E1055" s="15" t="n">
        <v>402</v>
      </c>
      <c r="F1055" s="5" t="inlineStr">
        <is>
          <t>нет</t>
        </is>
      </c>
      <c r="G1055" s="7" t="n"/>
      <c r="H1055">
        <f>VLOOKUP(C1055,Автомобили!$A$2:$G$1000,3,0)</f>
        <v/>
      </c>
      <c r="I1055">
        <f>VLOOKUP(D1055,Клиенты!$A$2:$D$1000,2,0)</f>
        <v/>
      </c>
      <c r="J1055">
        <f>IF(AND(H1055="Kaptur",I1055="Окраинов Л.Г.",YEAR(B1055)=2020),E1055,0)</f>
        <v/>
      </c>
    </row>
    <row r="1056">
      <c r="A1056" s="6" t="n">
        <v>1055</v>
      </c>
      <c r="B1056" s="13" t="n">
        <v>44094</v>
      </c>
      <c r="C1056" s="6" t="inlineStr">
        <is>
          <t>A39</t>
        </is>
      </c>
      <c r="D1056" s="6" t="n">
        <v>9</v>
      </c>
      <c r="E1056" s="15" t="n">
        <v>343</v>
      </c>
      <c r="F1056" s="5" t="inlineStr">
        <is>
          <t>нет</t>
        </is>
      </c>
      <c r="G1056" s="7" t="n"/>
      <c r="H1056">
        <f>VLOOKUP(C1056,Автомобили!$A$2:$G$1000,3,0)</f>
        <v/>
      </c>
      <c r="I1056">
        <f>VLOOKUP(D1056,Клиенты!$A$2:$D$1000,2,0)</f>
        <v/>
      </c>
      <c r="J1056">
        <f>IF(AND(H1056="Kaptur",I1056="Окраинов Л.Г.",YEAR(B1056)=2020),E1056,0)</f>
        <v/>
      </c>
    </row>
    <row r="1057">
      <c r="A1057" s="6" t="n">
        <v>1056</v>
      </c>
      <c r="B1057" s="13" t="n">
        <v>44094</v>
      </c>
      <c r="C1057" s="6" t="inlineStr">
        <is>
          <t>A22</t>
        </is>
      </c>
      <c r="D1057" s="6" t="n">
        <v>15</v>
      </c>
      <c r="E1057" s="15" t="n">
        <v>106</v>
      </c>
      <c r="F1057" s="5" t="inlineStr">
        <is>
          <t>нет</t>
        </is>
      </c>
      <c r="G1057" s="7" t="n"/>
      <c r="H1057">
        <f>VLOOKUP(C1057,Автомобили!$A$2:$G$1000,3,0)</f>
        <v/>
      </c>
      <c r="I1057">
        <f>VLOOKUP(D1057,Клиенты!$A$2:$D$1000,2,0)</f>
        <v/>
      </c>
      <c r="J1057">
        <f>IF(AND(H1057="Kaptur",I1057="Окраинов Л.Г.",YEAR(B1057)=2020),E1057,0)</f>
        <v/>
      </c>
    </row>
    <row r="1058">
      <c r="A1058" s="6" t="n">
        <v>1057</v>
      </c>
      <c r="B1058" s="13" t="n">
        <v>44095</v>
      </c>
      <c r="C1058" s="6" t="inlineStr">
        <is>
          <t>A43</t>
        </is>
      </c>
      <c r="D1058" s="6" t="n">
        <v>12</v>
      </c>
      <c r="E1058" s="15" t="n">
        <v>130</v>
      </c>
      <c r="F1058" s="5" t="inlineStr">
        <is>
          <t>нет</t>
        </is>
      </c>
      <c r="G1058" s="7" t="n"/>
      <c r="H1058">
        <f>VLOOKUP(C1058,Автомобили!$A$2:$G$1000,3,0)</f>
        <v/>
      </c>
      <c r="I1058">
        <f>VLOOKUP(D1058,Клиенты!$A$2:$D$1000,2,0)</f>
        <v/>
      </c>
      <c r="J1058">
        <f>IF(AND(H1058="Kaptur",I1058="Окраинов Л.Г.",YEAR(B1058)=2020),E1058,0)</f>
        <v/>
      </c>
    </row>
    <row r="1059">
      <c r="A1059" s="6" t="n">
        <v>1058</v>
      </c>
      <c r="B1059" s="13" t="n">
        <v>44095</v>
      </c>
      <c r="C1059" s="6" t="inlineStr">
        <is>
          <t>A5</t>
        </is>
      </c>
      <c r="D1059" s="6" t="n">
        <v>10</v>
      </c>
      <c r="E1059" s="15" t="n">
        <v>268</v>
      </c>
      <c r="F1059" s="5" t="inlineStr">
        <is>
          <t>нет</t>
        </is>
      </c>
      <c r="G1059" s="7" t="n"/>
      <c r="H1059">
        <f>VLOOKUP(C1059,Автомобили!$A$2:$G$1000,3,0)</f>
        <v/>
      </c>
      <c r="I1059">
        <f>VLOOKUP(D1059,Клиенты!$A$2:$D$1000,2,0)</f>
        <v/>
      </c>
      <c r="J1059">
        <f>IF(AND(H1059="Kaptur",I1059="Окраинов Л.Г.",YEAR(B1059)=2020),E1059,0)</f>
        <v/>
      </c>
    </row>
    <row r="1060">
      <c r="A1060" s="6" t="n">
        <v>1059</v>
      </c>
      <c r="B1060" s="13" t="n">
        <v>44095</v>
      </c>
      <c r="C1060" s="6" t="inlineStr">
        <is>
          <t>A40</t>
        </is>
      </c>
      <c r="D1060" s="6" t="n">
        <v>8</v>
      </c>
      <c r="E1060" s="15" t="n">
        <v>351</v>
      </c>
      <c r="F1060" s="5" t="inlineStr">
        <is>
          <t>нет</t>
        </is>
      </c>
      <c r="G1060" s="7" t="n"/>
      <c r="H1060">
        <f>VLOOKUP(C1060,Автомобили!$A$2:$G$1000,3,0)</f>
        <v/>
      </c>
      <c r="I1060">
        <f>VLOOKUP(D1060,Клиенты!$A$2:$D$1000,2,0)</f>
        <v/>
      </c>
      <c r="J1060">
        <f>IF(AND(H1060="Kaptur",I1060="Окраинов Л.Г.",YEAR(B1060)=2020),E1060,0)</f>
        <v/>
      </c>
    </row>
    <row r="1061">
      <c r="A1061" s="6" t="n">
        <v>1060</v>
      </c>
      <c r="B1061" s="13" t="n">
        <v>44095</v>
      </c>
      <c r="C1061" s="6" t="inlineStr">
        <is>
          <t>A35</t>
        </is>
      </c>
      <c r="D1061" s="6" t="n">
        <v>12</v>
      </c>
      <c r="E1061" s="15" t="n">
        <v>212</v>
      </c>
      <c r="F1061" s="5" t="inlineStr">
        <is>
          <t>нет</t>
        </is>
      </c>
      <c r="G1061" s="7" t="n"/>
      <c r="H1061">
        <f>VLOOKUP(C1061,Автомобили!$A$2:$G$1000,3,0)</f>
        <v/>
      </c>
      <c r="I1061">
        <f>VLOOKUP(D1061,Клиенты!$A$2:$D$1000,2,0)</f>
        <v/>
      </c>
      <c r="J1061">
        <f>IF(AND(H1061="Kaptur",I1061="Окраинов Л.Г.",YEAR(B1061)=2020),E1061,0)</f>
        <v/>
      </c>
    </row>
    <row r="1062">
      <c r="A1062" s="6" t="n">
        <v>1061</v>
      </c>
      <c r="B1062" s="13" t="n">
        <v>44096</v>
      </c>
      <c r="C1062" s="6" t="inlineStr">
        <is>
          <t>A35</t>
        </is>
      </c>
      <c r="D1062" s="6" t="n">
        <v>11</v>
      </c>
      <c r="E1062" s="15" t="n">
        <v>152</v>
      </c>
      <c r="F1062" s="5" t="inlineStr">
        <is>
          <t>нет</t>
        </is>
      </c>
      <c r="G1062" s="7" t="n"/>
      <c r="H1062">
        <f>VLOOKUP(C1062,Автомобили!$A$2:$G$1000,3,0)</f>
        <v/>
      </c>
      <c r="I1062">
        <f>VLOOKUP(D1062,Клиенты!$A$2:$D$1000,2,0)</f>
        <v/>
      </c>
      <c r="J1062">
        <f>IF(AND(H1062="Kaptur",I1062="Окраинов Л.Г.",YEAR(B1062)=2020),E1062,0)</f>
        <v/>
      </c>
    </row>
    <row r="1063">
      <c r="A1063" s="6" t="n">
        <v>1062</v>
      </c>
      <c r="B1063" s="13" t="n">
        <v>44096</v>
      </c>
      <c r="C1063" s="6" t="inlineStr">
        <is>
          <t>A8</t>
        </is>
      </c>
      <c r="D1063" s="6" t="n">
        <v>1</v>
      </c>
      <c r="E1063" s="15" t="n">
        <v>178</v>
      </c>
      <c r="F1063" s="5" t="inlineStr">
        <is>
          <t>нет</t>
        </is>
      </c>
      <c r="G1063" s="7" t="n"/>
      <c r="H1063">
        <f>VLOOKUP(C1063,Автомобили!$A$2:$G$1000,3,0)</f>
        <v/>
      </c>
      <c r="I1063">
        <f>VLOOKUP(D1063,Клиенты!$A$2:$D$1000,2,0)</f>
        <v/>
      </c>
      <c r="J1063">
        <f>IF(AND(H1063="Kaptur",I1063="Окраинов Л.Г.",YEAR(B1063)=2020),E1063,0)</f>
        <v/>
      </c>
    </row>
    <row r="1064">
      <c r="A1064" s="6" t="n">
        <v>1063</v>
      </c>
      <c r="B1064" s="13" t="n">
        <v>44096</v>
      </c>
      <c r="C1064" s="6" t="inlineStr">
        <is>
          <t>A43</t>
        </is>
      </c>
      <c r="D1064" s="6" t="n">
        <v>6</v>
      </c>
      <c r="E1064" s="15" t="n">
        <v>440</v>
      </c>
      <c r="F1064" s="5" t="inlineStr">
        <is>
          <t>нет</t>
        </is>
      </c>
      <c r="G1064" s="7" t="n"/>
      <c r="H1064">
        <f>VLOOKUP(C1064,Автомобили!$A$2:$G$1000,3,0)</f>
        <v/>
      </c>
      <c r="I1064">
        <f>VLOOKUP(D1064,Клиенты!$A$2:$D$1000,2,0)</f>
        <v/>
      </c>
      <c r="J1064">
        <f>IF(AND(H1064="Kaptur",I1064="Окраинов Л.Г.",YEAR(B1064)=2020),E1064,0)</f>
        <v/>
      </c>
    </row>
    <row r="1065">
      <c r="A1065" s="6" t="n">
        <v>1064</v>
      </c>
      <c r="B1065" s="13" t="n">
        <v>44096</v>
      </c>
      <c r="C1065" s="6" t="inlineStr">
        <is>
          <t>A46</t>
        </is>
      </c>
      <c r="D1065" s="6" t="n">
        <v>2</v>
      </c>
      <c r="E1065" s="15" t="n">
        <v>87</v>
      </c>
      <c r="F1065" s="5" t="inlineStr">
        <is>
          <t>нет</t>
        </is>
      </c>
      <c r="G1065" s="7" t="n"/>
      <c r="H1065">
        <f>VLOOKUP(C1065,Автомобили!$A$2:$G$1000,3,0)</f>
        <v/>
      </c>
      <c r="I1065">
        <f>VLOOKUP(D1065,Клиенты!$A$2:$D$1000,2,0)</f>
        <v/>
      </c>
      <c r="J1065">
        <f>IF(AND(H1065="Kaptur",I1065="Окраинов Л.Г.",YEAR(B1065)=2020),E1065,0)</f>
        <v/>
      </c>
    </row>
    <row r="1066">
      <c r="A1066" s="6" t="n">
        <v>1065</v>
      </c>
      <c r="B1066" s="13" t="n">
        <v>44097</v>
      </c>
      <c r="C1066" s="6" t="inlineStr">
        <is>
          <t>A14</t>
        </is>
      </c>
      <c r="D1066" s="6" t="n">
        <v>3</v>
      </c>
      <c r="E1066" s="15" t="n">
        <v>357</v>
      </c>
      <c r="F1066" s="5" t="inlineStr">
        <is>
          <t>нет</t>
        </is>
      </c>
      <c r="G1066" s="7" t="n"/>
      <c r="H1066">
        <f>VLOOKUP(C1066,Автомобили!$A$2:$G$1000,3,0)</f>
        <v/>
      </c>
      <c r="I1066">
        <f>VLOOKUP(D1066,Клиенты!$A$2:$D$1000,2,0)</f>
        <v/>
      </c>
      <c r="J1066">
        <f>IF(AND(H1066="Kaptur",I1066="Окраинов Л.Г.",YEAR(B1066)=2020),E1066,0)</f>
        <v/>
      </c>
    </row>
    <row r="1067">
      <c r="A1067" s="6" t="n">
        <v>1066</v>
      </c>
      <c r="B1067" s="13" t="n">
        <v>44097</v>
      </c>
      <c r="C1067" s="6" t="inlineStr">
        <is>
          <t>A49</t>
        </is>
      </c>
      <c r="D1067" s="6" t="n">
        <v>14</v>
      </c>
      <c r="E1067" s="15" t="n">
        <v>276</v>
      </c>
      <c r="F1067" s="5" t="inlineStr">
        <is>
          <t>нет</t>
        </is>
      </c>
      <c r="G1067" s="7" t="n"/>
      <c r="H1067">
        <f>VLOOKUP(C1067,Автомобили!$A$2:$G$1000,3,0)</f>
        <v/>
      </c>
      <c r="I1067">
        <f>VLOOKUP(D1067,Клиенты!$A$2:$D$1000,2,0)</f>
        <v/>
      </c>
      <c r="J1067">
        <f>IF(AND(H1067="Kaptur",I1067="Окраинов Л.Г.",YEAR(B1067)=2020),E1067,0)</f>
        <v/>
      </c>
    </row>
    <row r="1068">
      <c r="A1068" s="6" t="n">
        <v>1067</v>
      </c>
      <c r="B1068" s="13" t="n">
        <v>44097</v>
      </c>
      <c r="C1068" s="6" t="inlineStr">
        <is>
          <t>A28</t>
        </is>
      </c>
      <c r="D1068" s="6" t="n">
        <v>6</v>
      </c>
      <c r="E1068" s="15" t="n">
        <v>275</v>
      </c>
      <c r="F1068" s="5" t="inlineStr">
        <is>
          <t>нет</t>
        </is>
      </c>
      <c r="G1068" s="7" t="n"/>
      <c r="H1068">
        <f>VLOOKUP(C1068,Автомобили!$A$2:$G$1000,3,0)</f>
        <v/>
      </c>
      <c r="I1068">
        <f>VLOOKUP(D1068,Клиенты!$A$2:$D$1000,2,0)</f>
        <v/>
      </c>
      <c r="J1068">
        <f>IF(AND(H1068="Kaptur",I1068="Окраинов Л.Г.",YEAR(B1068)=2020),E1068,0)</f>
        <v/>
      </c>
    </row>
    <row r="1069">
      <c r="A1069" s="6" t="n">
        <v>1068</v>
      </c>
      <c r="B1069" s="13" t="n">
        <v>44097</v>
      </c>
      <c r="C1069" s="6" t="inlineStr">
        <is>
          <t>A34</t>
        </is>
      </c>
      <c r="D1069" s="6" t="n">
        <v>5</v>
      </c>
      <c r="E1069" s="15" t="n">
        <v>421</v>
      </c>
      <c r="F1069" s="5" t="inlineStr">
        <is>
          <t>нет</t>
        </is>
      </c>
      <c r="G1069" s="7" t="n"/>
      <c r="H1069">
        <f>VLOOKUP(C1069,Автомобили!$A$2:$G$1000,3,0)</f>
        <v/>
      </c>
      <c r="I1069">
        <f>VLOOKUP(D1069,Клиенты!$A$2:$D$1000,2,0)</f>
        <v/>
      </c>
      <c r="J1069">
        <f>IF(AND(H1069="Kaptur",I1069="Окраинов Л.Г.",YEAR(B1069)=2020),E1069,0)</f>
        <v/>
      </c>
    </row>
    <row r="1070">
      <c r="A1070" s="6" t="n">
        <v>1069</v>
      </c>
      <c r="B1070" s="13" t="n">
        <v>44098</v>
      </c>
      <c r="C1070" s="6" t="inlineStr">
        <is>
          <t>A45</t>
        </is>
      </c>
      <c r="D1070" s="6" t="n">
        <v>9</v>
      </c>
      <c r="E1070" s="15" t="n">
        <v>271</v>
      </c>
      <c r="F1070" s="5" t="inlineStr">
        <is>
          <t>нет</t>
        </is>
      </c>
      <c r="G1070" s="7" t="n"/>
      <c r="H1070">
        <f>VLOOKUP(C1070,Автомобили!$A$2:$G$1000,3,0)</f>
        <v/>
      </c>
      <c r="I1070">
        <f>VLOOKUP(D1070,Клиенты!$A$2:$D$1000,2,0)</f>
        <v/>
      </c>
      <c r="J1070">
        <f>IF(AND(H1070="Kaptur",I1070="Окраинов Л.Г.",YEAR(B1070)=2020),E1070,0)</f>
        <v/>
      </c>
    </row>
    <row r="1071">
      <c r="A1071" s="6" t="n">
        <v>1070</v>
      </c>
      <c r="B1071" s="13" t="n">
        <v>44098</v>
      </c>
      <c r="C1071" s="6" t="inlineStr">
        <is>
          <t>A47</t>
        </is>
      </c>
      <c r="D1071" s="6" t="n">
        <v>2</v>
      </c>
      <c r="E1071" s="15" t="n">
        <v>354</v>
      </c>
      <c r="F1071" s="5" t="inlineStr">
        <is>
          <t>нет</t>
        </is>
      </c>
      <c r="G1071" s="7" t="n"/>
      <c r="H1071">
        <f>VLOOKUP(C1071,Автомобили!$A$2:$G$1000,3,0)</f>
        <v/>
      </c>
      <c r="I1071">
        <f>VLOOKUP(D1071,Клиенты!$A$2:$D$1000,2,0)</f>
        <v/>
      </c>
      <c r="J1071">
        <f>IF(AND(H1071="Kaptur",I1071="Окраинов Л.Г.",YEAR(B1071)=2020),E1071,0)</f>
        <v/>
      </c>
    </row>
    <row r="1072">
      <c r="A1072" s="6" t="n">
        <v>1071</v>
      </c>
      <c r="B1072" s="13" t="n">
        <v>44098</v>
      </c>
      <c r="C1072" s="6" t="inlineStr">
        <is>
          <t>A34</t>
        </is>
      </c>
      <c r="D1072" s="6" t="n">
        <v>7</v>
      </c>
      <c r="E1072" s="15" t="n">
        <v>282</v>
      </c>
      <c r="F1072" s="5" t="inlineStr">
        <is>
          <t>нет</t>
        </is>
      </c>
      <c r="G1072" s="7" t="n"/>
      <c r="H1072">
        <f>VLOOKUP(C1072,Автомобили!$A$2:$G$1000,3,0)</f>
        <v/>
      </c>
      <c r="I1072">
        <f>VLOOKUP(D1072,Клиенты!$A$2:$D$1000,2,0)</f>
        <v/>
      </c>
      <c r="J1072">
        <f>IF(AND(H1072="Kaptur",I1072="Окраинов Л.Г.",YEAR(B1072)=2020),E1072,0)</f>
        <v/>
      </c>
    </row>
    <row r="1073">
      <c r="A1073" s="6" t="n">
        <v>1072</v>
      </c>
      <c r="B1073" s="13" t="n">
        <v>44098</v>
      </c>
      <c r="C1073" s="6" t="inlineStr">
        <is>
          <t>A56</t>
        </is>
      </c>
      <c r="D1073" s="6" t="n">
        <v>10</v>
      </c>
      <c r="E1073" s="15" t="n">
        <v>278</v>
      </c>
      <c r="F1073" s="5" t="inlineStr">
        <is>
          <t>нет</t>
        </is>
      </c>
      <c r="G1073" s="7" t="n"/>
      <c r="H1073">
        <f>VLOOKUP(C1073,Автомобили!$A$2:$G$1000,3,0)</f>
        <v/>
      </c>
      <c r="I1073">
        <f>VLOOKUP(D1073,Клиенты!$A$2:$D$1000,2,0)</f>
        <v/>
      </c>
      <c r="J1073">
        <f>IF(AND(H1073="Kaptur",I1073="Окраинов Л.Г.",YEAR(B1073)=2020),E1073,0)</f>
        <v/>
      </c>
    </row>
    <row r="1074">
      <c r="A1074" s="6" t="n">
        <v>1073</v>
      </c>
      <c r="B1074" s="13" t="n">
        <v>44099</v>
      </c>
      <c r="C1074" s="6" t="inlineStr">
        <is>
          <t>A65</t>
        </is>
      </c>
      <c r="D1074" s="6" t="n">
        <v>6</v>
      </c>
      <c r="E1074" s="15" t="n">
        <v>334</v>
      </c>
      <c r="F1074" s="5" t="inlineStr">
        <is>
          <t>нет</t>
        </is>
      </c>
      <c r="G1074" s="7" t="n"/>
      <c r="H1074">
        <f>VLOOKUP(C1074,Автомобили!$A$2:$G$1000,3,0)</f>
        <v/>
      </c>
      <c r="I1074">
        <f>VLOOKUP(D1074,Клиенты!$A$2:$D$1000,2,0)</f>
        <v/>
      </c>
      <c r="J1074">
        <f>IF(AND(H1074="Kaptur",I1074="Окраинов Л.Г.",YEAR(B1074)=2020),E1074,0)</f>
        <v/>
      </c>
    </row>
    <row r="1075">
      <c r="A1075" s="6" t="n">
        <v>1074</v>
      </c>
      <c r="B1075" s="13" t="n">
        <v>44099</v>
      </c>
      <c r="C1075" s="6" t="inlineStr">
        <is>
          <t>A48</t>
        </is>
      </c>
      <c r="D1075" s="6" t="n">
        <v>3</v>
      </c>
      <c r="E1075" s="15" t="n">
        <v>261</v>
      </c>
      <c r="F1075" s="5" t="inlineStr">
        <is>
          <t>нет</t>
        </is>
      </c>
      <c r="G1075" s="7" t="n"/>
      <c r="H1075">
        <f>VLOOKUP(C1075,Автомобили!$A$2:$G$1000,3,0)</f>
        <v/>
      </c>
      <c r="I1075">
        <f>VLOOKUP(D1075,Клиенты!$A$2:$D$1000,2,0)</f>
        <v/>
      </c>
      <c r="J1075">
        <f>IF(AND(H1075="Kaptur",I1075="Окраинов Л.Г.",YEAR(B1075)=2020),E1075,0)</f>
        <v/>
      </c>
    </row>
    <row r="1076">
      <c r="A1076" s="6" t="n">
        <v>1075</v>
      </c>
      <c r="B1076" s="13" t="n">
        <v>44099</v>
      </c>
      <c r="C1076" s="6" t="inlineStr">
        <is>
          <t>A1</t>
        </is>
      </c>
      <c r="D1076" s="6" t="n">
        <v>7</v>
      </c>
      <c r="E1076" s="15" t="n">
        <v>248</v>
      </c>
      <c r="F1076" s="5" t="inlineStr">
        <is>
          <t>нет</t>
        </is>
      </c>
      <c r="G1076" s="7" t="n"/>
      <c r="H1076">
        <f>VLOOKUP(C1076,Автомобили!$A$2:$G$1000,3,0)</f>
        <v/>
      </c>
      <c r="I1076">
        <f>VLOOKUP(D1076,Клиенты!$A$2:$D$1000,2,0)</f>
        <v/>
      </c>
      <c r="J1076">
        <f>IF(AND(H1076="Kaptur",I1076="Окраинов Л.Г.",YEAR(B1076)=2020),E1076,0)</f>
        <v/>
      </c>
    </row>
    <row r="1077">
      <c r="A1077" s="6" t="n">
        <v>1076</v>
      </c>
      <c r="B1077" s="13" t="n">
        <v>44099</v>
      </c>
      <c r="C1077" s="6" t="inlineStr">
        <is>
          <t>A30</t>
        </is>
      </c>
      <c r="D1077" s="6" t="n">
        <v>12</v>
      </c>
      <c r="E1077" s="15" t="n">
        <v>247</v>
      </c>
      <c r="F1077" s="5" t="inlineStr">
        <is>
          <t>нет</t>
        </is>
      </c>
      <c r="G1077" s="7" t="n"/>
      <c r="H1077">
        <f>VLOOKUP(C1077,Автомобили!$A$2:$G$1000,3,0)</f>
        <v/>
      </c>
      <c r="I1077">
        <f>VLOOKUP(D1077,Клиенты!$A$2:$D$1000,2,0)</f>
        <v/>
      </c>
      <c r="J1077">
        <f>IF(AND(H1077="Kaptur",I1077="Окраинов Л.Г.",YEAR(B1077)=2020),E1077,0)</f>
        <v/>
      </c>
    </row>
    <row r="1078">
      <c r="A1078" s="6" t="n">
        <v>1077</v>
      </c>
      <c r="B1078" s="13" t="n">
        <v>44100</v>
      </c>
      <c r="C1078" s="6" t="inlineStr">
        <is>
          <t>A64</t>
        </is>
      </c>
      <c r="D1078" s="6" t="n">
        <v>13</v>
      </c>
      <c r="E1078" s="15" t="n">
        <v>446</v>
      </c>
      <c r="F1078" s="5" t="inlineStr">
        <is>
          <t>нет</t>
        </is>
      </c>
      <c r="G1078" s="7" t="n"/>
      <c r="H1078">
        <f>VLOOKUP(C1078,Автомобили!$A$2:$G$1000,3,0)</f>
        <v/>
      </c>
      <c r="I1078">
        <f>VLOOKUP(D1078,Клиенты!$A$2:$D$1000,2,0)</f>
        <v/>
      </c>
      <c r="J1078">
        <f>IF(AND(H1078="Kaptur",I1078="Окраинов Л.Г.",YEAR(B1078)=2020),E1078,0)</f>
        <v/>
      </c>
    </row>
    <row r="1079">
      <c r="A1079" s="6" t="n">
        <v>1078</v>
      </c>
      <c r="B1079" s="13" t="n">
        <v>44100</v>
      </c>
      <c r="C1079" s="6" t="inlineStr">
        <is>
          <t>A54</t>
        </is>
      </c>
      <c r="D1079" s="6" t="n">
        <v>15</v>
      </c>
      <c r="E1079" s="15" t="n">
        <v>249</v>
      </c>
      <c r="F1079" s="5" t="inlineStr">
        <is>
          <t>нет</t>
        </is>
      </c>
      <c r="G1079" s="7" t="n"/>
      <c r="H1079">
        <f>VLOOKUP(C1079,Автомобили!$A$2:$G$1000,3,0)</f>
        <v/>
      </c>
      <c r="I1079">
        <f>VLOOKUP(D1079,Клиенты!$A$2:$D$1000,2,0)</f>
        <v/>
      </c>
      <c r="J1079">
        <f>IF(AND(H1079="Kaptur",I1079="Окраинов Л.Г.",YEAR(B1079)=2020),E1079,0)</f>
        <v/>
      </c>
    </row>
    <row r="1080">
      <c r="A1080" s="6" t="n">
        <v>1079</v>
      </c>
      <c r="B1080" s="13" t="n">
        <v>44100</v>
      </c>
      <c r="C1080" s="6" t="inlineStr">
        <is>
          <t>A34</t>
        </is>
      </c>
      <c r="D1080" s="6" t="n">
        <v>2</v>
      </c>
      <c r="E1080" s="15" t="n">
        <v>359</v>
      </c>
      <c r="F1080" s="5" t="inlineStr">
        <is>
          <t>нет</t>
        </is>
      </c>
      <c r="G1080" s="7" t="n"/>
      <c r="H1080">
        <f>VLOOKUP(C1080,Автомобили!$A$2:$G$1000,3,0)</f>
        <v/>
      </c>
      <c r="I1080">
        <f>VLOOKUP(D1080,Клиенты!$A$2:$D$1000,2,0)</f>
        <v/>
      </c>
      <c r="J1080">
        <f>IF(AND(H1080="Kaptur",I1080="Окраинов Л.Г.",YEAR(B1080)=2020),E1080,0)</f>
        <v/>
      </c>
    </row>
    <row r="1081">
      <c r="A1081" s="6" t="n">
        <v>1080</v>
      </c>
      <c r="B1081" s="13" t="n">
        <v>44100</v>
      </c>
      <c r="C1081" s="6" t="inlineStr">
        <is>
          <t>A23</t>
        </is>
      </c>
      <c r="D1081" s="6" t="n">
        <v>8</v>
      </c>
      <c r="E1081" s="15" t="n">
        <v>128</v>
      </c>
      <c r="F1081" s="5" t="inlineStr">
        <is>
          <t>нет</t>
        </is>
      </c>
      <c r="G1081" s="7" t="n"/>
      <c r="H1081">
        <f>VLOOKUP(C1081,Автомобили!$A$2:$G$1000,3,0)</f>
        <v/>
      </c>
      <c r="I1081">
        <f>VLOOKUP(D1081,Клиенты!$A$2:$D$1000,2,0)</f>
        <v/>
      </c>
      <c r="J1081">
        <f>IF(AND(H1081="Kaptur",I1081="Окраинов Л.Г.",YEAR(B1081)=2020),E1081,0)</f>
        <v/>
      </c>
    </row>
    <row r="1082">
      <c r="A1082" s="6" t="n">
        <v>1081</v>
      </c>
      <c r="B1082" s="13" t="n">
        <v>44101</v>
      </c>
      <c r="C1082" s="6" t="inlineStr">
        <is>
          <t>A3</t>
        </is>
      </c>
      <c r="D1082" s="6" t="n">
        <v>4</v>
      </c>
      <c r="E1082" s="15" t="n">
        <v>265</v>
      </c>
      <c r="F1082" s="5" t="inlineStr">
        <is>
          <t>нет</t>
        </is>
      </c>
      <c r="G1082" s="7" t="n"/>
      <c r="H1082">
        <f>VLOOKUP(C1082,Автомобили!$A$2:$G$1000,3,0)</f>
        <v/>
      </c>
      <c r="I1082">
        <f>VLOOKUP(D1082,Клиенты!$A$2:$D$1000,2,0)</f>
        <v/>
      </c>
      <c r="J1082">
        <f>IF(AND(H1082="Kaptur",I1082="Окраинов Л.Г.",YEAR(B1082)=2020),E1082,0)</f>
        <v/>
      </c>
    </row>
    <row r="1083">
      <c r="A1083" s="6" t="n">
        <v>1082</v>
      </c>
      <c r="B1083" s="13" t="n">
        <v>44101</v>
      </c>
      <c r="C1083" s="6" t="inlineStr">
        <is>
          <t>A18</t>
        </is>
      </c>
      <c r="D1083" s="6" t="n">
        <v>13</v>
      </c>
      <c r="E1083" s="15" t="n">
        <v>358</v>
      </c>
      <c r="F1083" s="5" t="inlineStr">
        <is>
          <t>нет</t>
        </is>
      </c>
      <c r="G1083" s="7" t="n"/>
      <c r="H1083">
        <f>VLOOKUP(C1083,Автомобили!$A$2:$G$1000,3,0)</f>
        <v/>
      </c>
      <c r="I1083">
        <f>VLOOKUP(D1083,Клиенты!$A$2:$D$1000,2,0)</f>
        <v/>
      </c>
      <c r="J1083">
        <f>IF(AND(H1083="Kaptur",I1083="Окраинов Л.Г.",YEAR(B1083)=2020),E1083,0)</f>
        <v/>
      </c>
    </row>
    <row r="1084">
      <c r="A1084" s="6" t="n">
        <v>1083</v>
      </c>
      <c r="B1084" s="13" t="n">
        <v>44101</v>
      </c>
      <c r="C1084" s="6" t="inlineStr">
        <is>
          <t>A50</t>
        </is>
      </c>
      <c r="D1084" s="6" t="n">
        <v>9</v>
      </c>
      <c r="E1084" s="15" t="n">
        <v>350</v>
      </c>
      <c r="F1084" s="5" t="inlineStr">
        <is>
          <t>нет</t>
        </is>
      </c>
      <c r="G1084" s="7" t="n"/>
      <c r="H1084">
        <f>VLOOKUP(C1084,Автомобили!$A$2:$G$1000,3,0)</f>
        <v/>
      </c>
      <c r="I1084">
        <f>VLOOKUP(D1084,Клиенты!$A$2:$D$1000,2,0)</f>
        <v/>
      </c>
      <c r="J1084">
        <f>IF(AND(H1084="Kaptur",I1084="Окраинов Л.Г.",YEAR(B1084)=2020),E1084,0)</f>
        <v/>
      </c>
    </row>
    <row r="1085">
      <c r="A1085" s="6" t="n">
        <v>1084</v>
      </c>
      <c r="B1085" s="13" t="n">
        <v>44101</v>
      </c>
      <c r="C1085" s="6" t="inlineStr">
        <is>
          <t>A49</t>
        </is>
      </c>
      <c r="D1085" s="6" t="n">
        <v>11</v>
      </c>
      <c r="E1085" s="15" t="n">
        <v>153</v>
      </c>
      <c r="F1085" s="5" t="inlineStr">
        <is>
          <t>нет</t>
        </is>
      </c>
      <c r="G1085" s="7" t="n"/>
      <c r="H1085">
        <f>VLOOKUP(C1085,Автомобили!$A$2:$G$1000,3,0)</f>
        <v/>
      </c>
      <c r="I1085">
        <f>VLOOKUP(D1085,Клиенты!$A$2:$D$1000,2,0)</f>
        <v/>
      </c>
      <c r="J1085">
        <f>IF(AND(H1085="Kaptur",I1085="Окраинов Л.Г.",YEAR(B1085)=2020),E1085,0)</f>
        <v/>
      </c>
    </row>
    <row r="1086">
      <c r="A1086" s="6" t="n">
        <v>1085</v>
      </c>
      <c r="B1086" s="13" t="n">
        <v>44102</v>
      </c>
      <c r="C1086" s="6" t="inlineStr">
        <is>
          <t>A56</t>
        </is>
      </c>
      <c r="D1086" s="6" t="n">
        <v>14</v>
      </c>
      <c r="E1086" s="15" t="n">
        <v>243</v>
      </c>
      <c r="F1086" s="5" t="inlineStr">
        <is>
          <t>нет</t>
        </is>
      </c>
      <c r="G1086" s="7" t="n"/>
      <c r="H1086">
        <f>VLOOKUP(C1086,Автомобили!$A$2:$G$1000,3,0)</f>
        <v/>
      </c>
      <c r="I1086">
        <f>VLOOKUP(D1086,Клиенты!$A$2:$D$1000,2,0)</f>
        <v/>
      </c>
      <c r="J1086">
        <f>IF(AND(H1086="Kaptur",I1086="Окраинов Л.Г.",YEAR(B1086)=2020),E1086,0)</f>
        <v/>
      </c>
    </row>
    <row r="1087">
      <c r="A1087" s="6" t="n">
        <v>1086</v>
      </c>
      <c r="B1087" s="13" t="n">
        <v>44102</v>
      </c>
      <c r="C1087" s="6" t="inlineStr">
        <is>
          <t>A55</t>
        </is>
      </c>
      <c r="D1087" s="6" t="n">
        <v>4</v>
      </c>
      <c r="E1087" s="15" t="n">
        <v>223</v>
      </c>
      <c r="F1087" s="5" t="inlineStr">
        <is>
          <t>нет</t>
        </is>
      </c>
      <c r="G1087" s="7" t="n"/>
      <c r="H1087">
        <f>VLOOKUP(C1087,Автомобили!$A$2:$G$1000,3,0)</f>
        <v/>
      </c>
      <c r="I1087">
        <f>VLOOKUP(D1087,Клиенты!$A$2:$D$1000,2,0)</f>
        <v/>
      </c>
      <c r="J1087">
        <f>IF(AND(H1087="Kaptur",I1087="Окраинов Л.Г.",YEAR(B1087)=2020),E1087,0)</f>
        <v/>
      </c>
    </row>
    <row r="1088">
      <c r="A1088" s="6" t="n">
        <v>1087</v>
      </c>
      <c r="B1088" s="13" t="n">
        <v>44102</v>
      </c>
      <c r="C1088" s="6" t="inlineStr">
        <is>
          <t>A22</t>
        </is>
      </c>
      <c r="D1088" s="6" t="n">
        <v>1</v>
      </c>
      <c r="E1088" s="15" t="n">
        <v>265</v>
      </c>
      <c r="F1088" s="5" t="inlineStr">
        <is>
          <t>нет</t>
        </is>
      </c>
      <c r="G1088" s="7" t="n"/>
      <c r="H1088">
        <f>VLOOKUP(C1088,Автомобили!$A$2:$G$1000,3,0)</f>
        <v/>
      </c>
      <c r="I1088">
        <f>VLOOKUP(D1088,Клиенты!$A$2:$D$1000,2,0)</f>
        <v/>
      </c>
      <c r="J1088">
        <f>IF(AND(H1088="Kaptur",I1088="Окраинов Л.Г.",YEAR(B1088)=2020),E1088,0)</f>
        <v/>
      </c>
    </row>
    <row r="1089">
      <c r="A1089" s="6" t="n">
        <v>1088</v>
      </c>
      <c r="B1089" s="13" t="n">
        <v>44102</v>
      </c>
      <c r="C1089" s="6" t="inlineStr">
        <is>
          <t>A59</t>
        </is>
      </c>
      <c r="D1089" s="6" t="n">
        <v>15</v>
      </c>
      <c r="E1089" s="15" t="n">
        <v>117</v>
      </c>
      <c r="F1089" s="5" t="inlineStr">
        <is>
          <t>нет</t>
        </is>
      </c>
      <c r="G1089" s="7" t="n"/>
      <c r="H1089">
        <f>VLOOKUP(C1089,Автомобили!$A$2:$G$1000,3,0)</f>
        <v/>
      </c>
      <c r="I1089">
        <f>VLOOKUP(D1089,Клиенты!$A$2:$D$1000,2,0)</f>
        <v/>
      </c>
      <c r="J1089">
        <f>IF(AND(H1089="Kaptur",I1089="Окраинов Л.Г.",YEAR(B1089)=2020),E1089,0)</f>
        <v/>
      </c>
    </row>
    <row r="1090">
      <c r="A1090" s="6" t="n">
        <v>1089</v>
      </c>
      <c r="B1090" s="13" t="n">
        <v>44103</v>
      </c>
      <c r="C1090" s="6" t="inlineStr">
        <is>
          <t>A38</t>
        </is>
      </c>
      <c r="D1090" s="6" t="n">
        <v>5</v>
      </c>
      <c r="E1090" s="15" t="n">
        <v>338</v>
      </c>
      <c r="F1090" s="5" t="inlineStr">
        <is>
          <t>нет</t>
        </is>
      </c>
      <c r="G1090" s="7" t="n"/>
      <c r="H1090">
        <f>VLOOKUP(C1090,Автомобили!$A$2:$G$1000,3,0)</f>
        <v/>
      </c>
      <c r="I1090">
        <f>VLOOKUP(D1090,Клиенты!$A$2:$D$1000,2,0)</f>
        <v/>
      </c>
      <c r="J1090">
        <f>IF(AND(H1090="Kaptur",I1090="Окраинов Л.Г.",YEAR(B1090)=2020),E1090,0)</f>
        <v/>
      </c>
    </row>
    <row r="1091">
      <c r="A1091" s="6" t="n">
        <v>1090</v>
      </c>
      <c r="B1091" s="13" t="n">
        <v>44103</v>
      </c>
      <c r="C1091" s="6" t="inlineStr">
        <is>
          <t>A36</t>
        </is>
      </c>
      <c r="D1091" s="6" t="n">
        <v>14</v>
      </c>
      <c r="E1091" s="15" t="n">
        <v>160</v>
      </c>
      <c r="F1091" s="5" t="inlineStr">
        <is>
          <t>нет</t>
        </is>
      </c>
      <c r="G1091" s="7" t="n"/>
      <c r="H1091">
        <f>VLOOKUP(C1091,Автомобили!$A$2:$G$1000,3,0)</f>
        <v/>
      </c>
      <c r="I1091">
        <f>VLOOKUP(D1091,Клиенты!$A$2:$D$1000,2,0)</f>
        <v/>
      </c>
      <c r="J1091">
        <f>IF(AND(H1091="Kaptur",I1091="Окраинов Л.Г.",YEAR(B1091)=2020),E1091,0)</f>
        <v/>
      </c>
    </row>
    <row r="1092">
      <c r="A1092" s="6" t="n">
        <v>1091</v>
      </c>
      <c r="B1092" s="13" t="n">
        <v>44103</v>
      </c>
      <c r="C1092" s="6" t="inlineStr">
        <is>
          <t>A11</t>
        </is>
      </c>
      <c r="D1092" s="6" t="n">
        <v>11</v>
      </c>
      <c r="E1092" s="15" t="n">
        <v>429</v>
      </c>
      <c r="F1092" s="5" t="inlineStr">
        <is>
          <t>нет</t>
        </is>
      </c>
      <c r="G1092" s="7" t="n"/>
      <c r="H1092">
        <f>VLOOKUP(C1092,Автомобили!$A$2:$G$1000,3,0)</f>
        <v/>
      </c>
      <c r="I1092">
        <f>VLOOKUP(D1092,Клиенты!$A$2:$D$1000,2,0)</f>
        <v/>
      </c>
      <c r="J1092">
        <f>IF(AND(H1092="Kaptur",I1092="Окраинов Л.Г.",YEAR(B1092)=2020),E1092,0)</f>
        <v/>
      </c>
    </row>
    <row r="1093">
      <c r="A1093" s="6" t="n">
        <v>1092</v>
      </c>
      <c r="B1093" s="13" t="n">
        <v>44103</v>
      </c>
      <c r="C1093" s="6" t="inlineStr">
        <is>
          <t>A63</t>
        </is>
      </c>
      <c r="D1093" s="6" t="n">
        <v>9</v>
      </c>
      <c r="E1093" s="15" t="n">
        <v>267</v>
      </c>
      <c r="F1093" s="5" t="inlineStr">
        <is>
          <t>нет</t>
        </is>
      </c>
      <c r="G1093" s="7" t="n"/>
      <c r="H1093">
        <f>VLOOKUP(C1093,Автомобили!$A$2:$G$1000,3,0)</f>
        <v/>
      </c>
      <c r="I1093">
        <f>VLOOKUP(D1093,Клиенты!$A$2:$D$1000,2,0)</f>
        <v/>
      </c>
      <c r="J1093">
        <f>IF(AND(H1093="Kaptur",I1093="Окраинов Л.Г.",YEAR(B1093)=2020),E1093,0)</f>
        <v/>
      </c>
    </row>
    <row r="1094">
      <c r="A1094" s="6" t="n">
        <v>1093</v>
      </c>
      <c r="B1094" s="13" t="n">
        <v>44104</v>
      </c>
      <c r="C1094" s="6" t="inlineStr">
        <is>
          <t>A30</t>
        </is>
      </c>
      <c r="D1094" s="6" t="n">
        <v>6</v>
      </c>
      <c r="E1094" s="15" t="n">
        <v>131</v>
      </c>
      <c r="F1094" s="5" t="inlineStr">
        <is>
          <t>нет</t>
        </is>
      </c>
      <c r="G1094" s="7" t="n"/>
      <c r="H1094">
        <f>VLOOKUP(C1094,Автомобили!$A$2:$G$1000,3,0)</f>
        <v/>
      </c>
      <c r="I1094">
        <f>VLOOKUP(D1094,Клиенты!$A$2:$D$1000,2,0)</f>
        <v/>
      </c>
      <c r="J1094">
        <f>IF(AND(H1094="Kaptur",I1094="Окраинов Л.Г.",YEAR(B1094)=2020),E1094,0)</f>
        <v/>
      </c>
    </row>
    <row r="1095">
      <c r="A1095" s="6" t="n">
        <v>1094</v>
      </c>
      <c r="B1095" s="13" t="n">
        <v>44104</v>
      </c>
      <c r="C1095" s="6" t="inlineStr">
        <is>
          <t>A47</t>
        </is>
      </c>
      <c r="D1095" s="6" t="n">
        <v>6</v>
      </c>
      <c r="E1095" s="15" t="n">
        <v>132</v>
      </c>
      <c r="F1095" s="5" t="inlineStr">
        <is>
          <t>нет</t>
        </is>
      </c>
      <c r="G1095" s="7" t="n"/>
      <c r="H1095">
        <f>VLOOKUP(C1095,Автомобили!$A$2:$G$1000,3,0)</f>
        <v/>
      </c>
      <c r="I1095">
        <f>VLOOKUP(D1095,Клиенты!$A$2:$D$1000,2,0)</f>
        <v/>
      </c>
      <c r="J1095">
        <f>IF(AND(H1095="Kaptur",I1095="Окраинов Л.Г.",YEAR(B1095)=2020),E1095,0)</f>
        <v/>
      </c>
    </row>
    <row r="1096">
      <c r="A1096" s="6" t="n">
        <v>1095</v>
      </c>
      <c r="B1096" s="13" t="n">
        <v>44104</v>
      </c>
      <c r="C1096" s="6" t="inlineStr">
        <is>
          <t>A5</t>
        </is>
      </c>
      <c r="D1096" s="6" t="n">
        <v>6</v>
      </c>
      <c r="E1096" s="15" t="n">
        <v>198</v>
      </c>
      <c r="F1096" s="5" t="inlineStr">
        <is>
          <t>нет</t>
        </is>
      </c>
      <c r="G1096" s="7" t="n"/>
      <c r="H1096">
        <f>VLOOKUP(C1096,Автомобили!$A$2:$G$1000,3,0)</f>
        <v/>
      </c>
      <c r="I1096">
        <f>VLOOKUP(D1096,Клиенты!$A$2:$D$1000,2,0)</f>
        <v/>
      </c>
      <c r="J1096">
        <f>IF(AND(H1096="Kaptur",I1096="Окраинов Л.Г.",YEAR(B1096)=2020),E1096,0)</f>
        <v/>
      </c>
    </row>
    <row r="1097">
      <c r="A1097" s="6" t="n">
        <v>1096</v>
      </c>
      <c r="B1097" s="13" t="n">
        <v>44104</v>
      </c>
      <c r="C1097" s="6" t="inlineStr">
        <is>
          <t>A63</t>
        </is>
      </c>
      <c r="D1097" s="6" t="n">
        <v>7</v>
      </c>
      <c r="E1097" s="15" t="n">
        <v>391</v>
      </c>
      <c r="F1097" s="5" t="inlineStr">
        <is>
          <t>нет</t>
        </is>
      </c>
      <c r="G1097" s="7" t="n"/>
      <c r="H1097">
        <f>VLOOKUP(C1097,Автомобили!$A$2:$G$1000,3,0)</f>
        <v/>
      </c>
      <c r="I1097">
        <f>VLOOKUP(D1097,Клиенты!$A$2:$D$1000,2,0)</f>
        <v/>
      </c>
      <c r="J1097">
        <f>IF(AND(H1097="Kaptur",I1097="Окраинов Л.Г.",YEAR(B1097)=2020),E1097,0)</f>
        <v/>
      </c>
    </row>
    <row r="1098">
      <c r="A1098" s="6" t="n">
        <v>1097</v>
      </c>
      <c r="B1098" s="13" t="n">
        <v>44105</v>
      </c>
      <c r="C1098" s="6" t="inlineStr">
        <is>
          <t>A51</t>
        </is>
      </c>
      <c r="D1098" s="6" t="n">
        <v>5</v>
      </c>
      <c r="E1098" s="15" t="n">
        <v>306</v>
      </c>
      <c r="F1098" s="5" t="inlineStr">
        <is>
          <t>нет</t>
        </is>
      </c>
      <c r="G1098" s="7" t="n"/>
      <c r="H1098">
        <f>VLOOKUP(C1098,Автомобили!$A$2:$G$1000,3,0)</f>
        <v/>
      </c>
      <c r="I1098">
        <f>VLOOKUP(D1098,Клиенты!$A$2:$D$1000,2,0)</f>
        <v/>
      </c>
      <c r="J1098">
        <f>IF(AND(H1098="Kaptur",I1098="Окраинов Л.Г.",YEAR(B1098)=2020),E1098,0)</f>
        <v/>
      </c>
    </row>
    <row r="1099">
      <c r="A1099" s="6" t="n">
        <v>1098</v>
      </c>
      <c r="B1099" s="13" t="n">
        <v>44105</v>
      </c>
      <c r="C1099" s="6" t="inlineStr">
        <is>
          <t>A56</t>
        </is>
      </c>
      <c r="D1099" s="6" t="n">
        <v>7</v>
      </c>
      <c r="E1099" s="15" t="n">
        <v>184</v>
      </c>
      <c r="F1099" s="5" t="inlineStr">
        <is>
          <t>нет</t>
        </is>
      </c>
      <c r="G1099" s="7" t="n"/>
      <c r="H1099">
        <f>VLOOKUP(C1099,Автомобили!$A$2:$G$1000,3,0)</f>
        <v/>
      </c>
      <c r="I1099">
        <f>VLOOKUP(D1099,Клиенты!$A$2:$D$1000,2,0)</f>
        <v/>
      </c>
      <c r="J1099">
        <f>IF(AND(H1099="Kaptur",I1099="Окраинов Л.Г.",YEAR(B1099)=2020),E1099,0)</f>
        <v/>
      </c>
    </row>
    <row r="1100">
      <c r="A1100" s="6" t="n">
        <v>1099</v>
      </c>
      <c r="B1100" s="13" t="n">
        <v>44105</v>
      </c>
      <c r="C1100" s="6" t="inlineStr">
        <is>
          <t>A27</t>
        </is>
      </c>
      <c r="D1100" s="6" t="n">
        <v>8</v>
      </c>
      <c r="E1100" s="15" t="n">
        <v>439</v>
      </c>
      <c r="F1100" s="5" t="inlineStr">
        <is>
          <t>нет</t>
        </is>
      </c>
      <c r="G1100" s="7" t="n"/>
      <c r="H1100">
        <f>VLOOKUP(C1100,Автомобили!$A$2:$G$1000,3,0)</f>
        <v/>
      </c>
      <c r="I1100">
        <f>VLOOKUP(D1100,Клиенты!$A$2:$D$1000,2,0)</f>
        <v/>
      </c>
      <c r="J1100">
        <f>IF(AND(H1100="Kaptur",I1100="Окраинов Л.Г.",YEAR(B1100)=2020),E1100,0)</f>
        <v/>
      </c>
    </row>
    <row r="1101">
      <c r="A1101" s="6" t="n">
        <v>1100</v>
      </c>
      <c r="B1101" s="13" t="n">
        <v>44105</v>
      </c>
      <c r="C1101" s="6" t="inlineStr">
        <is>
          <t>A42</t>
        </is>
      </c>
      <c r="D1101" s="6" t="n">
        <v>15</v>
      </c>
      <c r="E1101" s="15" t="n">
        <v>211</v>
      </c>
      <c r="F1101" s="5" t="inlineStr">
        <is>
          <t>нет</t>
        </is>
      </c>
      <c r="G1101" s="7" t="n"/>
      <c r="H1101">
        <f>VLOOKUP(C1101,Автомобили!$A$2:$G$1000,3,0)</f>
        <v/>
      </c>
      <c r="I1101">
        <f>VLOOKUP(D1101,Клиенты!$A$2:$D$1000,2,0)</f>
        <v/>
      </c>
      <c r="J1101">
        <f>IF(AND(H1101="Kaptur",I1101="Окраинов Л.Г.",YEAR(B1101)=2020),E1101,0)</f>
        <v/>
      </c>
    </row>
    <row r="1102">
      <c r="A1102" s="6" t="n">
        <v>1101</v>
      </c>
      <c r="B1102" s="13" t="n">
        <v>44106</v>
      </c>
      <c r="C1102" s="6" t="inlineStr">
        <is>
          <t>A13</t>
        </is>
      </c>
      <c r="D1102" s="6" t="n">
        <v>6</v>
      </c>
      <c r="E1102" s="15" t="n">
        <v>146</v>
      </c>
      <c r="F1102" s="5" t="inlineStr">
        <is>
          <t>нет</t>
        </is>
      </c>
      <c r="G1102" s="7" t="n"/>
      <c r="H1102">
        <f>VLOOKUP(C1102,Автомобили!$A$2:$G$1000,3,0)</f>
        <v/>
      </c>
      <c r="I1102">
        <f>VLOOKUP(D1102,Клиенты!$A$2:$D$1000,2,0)</f>
        <v/>
      </c>
      <c r="J1102">
        <f>IF(AND(H1102="Kaptur",I1102="Окраинов Л.Г.",YEAR(B1102)=2020),E1102,0)</f>
        <v/>
      </c>
    </row>
    <row r="1103">
      <c r="A1103" s="6" t="n">
        <v>1102</v>
      </c>
      <c r="B1103" s="13" t="n">
        <v>44106</v>
      </c>
      <c r="C1103" s="6" t="inlineStr">
        <is>
          <t>A41</t>
        </is>
      </c>
      <c r="D1103" s="6" t="n">
        <v>8</v>
      </c>
      <c r="E1103" s="15" t="n">
        <v>129</v>
      </c>
      <c r="F1103" s="5" t="inlineStr">
        <is>
          <t>нет</t>
        </is>
      </c>
      <c r="G1103" s="7" t="n"/>
      <c r="H1103">
        <f>VLOOKUP(C1103,Автомобили!$A$2:$G$1000,3,0)</f>
        <v/>
      </c>
      <c r="I1103">
        <f>VLOOKUP(D1103,Клиенты!$A$2:$D$1000,2,0)</f>
        <v/>
      </c>
      <c r="J1103">
        <f>IF(AND(H1103="Kaptur",I1103="Окраинов Л.Г.",YEAR(B1103)=2020),E1103,0)</f>
        <v/>
      </c>
    </row>
    <row r="1104">
      <c r="A1104" s="6" t="n">
        <v>1103</v>
      </c>
      <c r="B1104" s="13" t="n">
        <v>44106</v>
      </c>
      <c r="C1104" s="6" t="inlineStr">
        <is>
          <t>A20</t>
        </is>
      </c>
      <c r="D1104" s="6" t="n">
        <v>13</v>
      </c>
      <c r="E1104" s="15" t="n">
        <v>188</v>
      </c>
      <c r="F1104" s="5" t="inlineStr">
        <is>
          <t>нет</t>
        </is>
      </c>
      <c r="G1104" s="7" t="n"/>
      <c r="H1104">
        <f>VLOOKUP(C1104,Автомобили!$A$2:$G$1000,3,0)</f>
        <v/>
      </c>
      <c r="I1104">
        <f>VLOOKUP(D1104,Клиенты!$A$2:$D$1000,2,0)</f>
        <v/>
      </c>
      <c r="J1104">
        <f>IF(AND(H1104="Kaptur",I1104="Окраинов Л.Г.",YEAR(B1104)=2020),E1104,0)</f>
        <v/>
      </c>
    </row>
    <row r="1105">
      <c r="A1105" s="6" t="n">
        <v>1104</v>
      </c>
      <c r="B1105" s="13" t="n">
        <v>44106</v>
      </c>
      <c r="C1105" s="6" t="inlineStr">
        <is>
          <t>A18</t>
        </is>
      </c>
      <c r="D1105" s="6" t="n">
        <v>15</v>
      </c>
      <c r="E1105" s="15" t="n">
        <v>253</v>
      </c>
      <c r="F1105" s="5" t="inlineStr">
        <is>
          <t>нет</t>
        </is>
      </c>
      <c r="G1105" s="7" t="n"/>
      <c r="H1105">
        <f>VLOOKUP(C1105,Автомобили!$A$2:$G$1000,3,0)</f>
        <v/>
      </c>
      <c r="I1105">
        <f>VLOOKUP(D1105,Клиенты!$A$2:$D$1000,2,0)</f>
        <v/>
      </c>
      <c r="J1105">
        <f>IF(AND(H1105="Kaptur",I1105="Окраинов Л.Г.",YEAR(B1105)=2020),E1105,0)</f>
        <v/>
      </c>
    </row>
    <row r="1106">
      <c r="A1106" s="6" t="n">
        <v>1105</v>
      </c>
      <c r="B1106" s="13" t="n">
        <v>44107</v>
      </c>
      <c r="C1106" s="6" t="inlineStr">
        <is>
          <t>A52</t>
        </is>
      </c>
      <c r="D1106" s="6" t="n">
        <v>7</v>
      </c>
      <c r="E1106" s="15" t="n">
        <v>412</v>
      </c>
      <c r="F1106" s="5" t="inlineStr">
        <is>
          <t>нет</t>
        </is>
      </c>
      <c r="G1106" s="7" t="n"/>
      <c r="H1106">
        <f>VLOOKUP(C1106,Автомобили!$A$2:$G$1000,3,0)</f>
        <v/>
      </c>
      <c r="I1106">
        <f>VLOOKUP(D1106,Клиенты!$A$2:$D$1000,2,0)</f>
        <v/>
      </c>
      <c r="J1106">
        <f>IF(AND(H1106="Kaptur",I1106="Окраинов Л.Г.",YEAR(B1106)=2020),E1106,0)</f>
        <v/>
      </c>
    </row>
    <row r="1107">
      <c r="A1107" s="6" t="n">
        <v>1106</v>
      </c>
      <c r="B1107" s="13" t="n">
        <v>44107</v>
      </c>
      <c r="C1107" s="6" t="inlineStr">
        <is>
          <t>A47</t>
        </is>
      </c>
      <c r="D1107" s="6" t="n">
        <v>11</v>
      </c>
      <c r="E1107" s="15" t="n">
        <v>153</v>
      </c>
      <c r="F1107" s="5" t="inlineStr">
        <is>
          <t>нет</t>
        </is>
      </c>
      <c r="G1107" s="7" t="n"/>
      <c r="H1107">
        <f>VLOOKUP(C1107,Автомобили!$A$2:$G$1000,3,0)</f>
        <v/>
      </c>
      <c r="I1107">
        <f>VLOOKUP(D1107,Клиенты!$A$2:$D$1000,2,0)</f>
        <v/>
      </c>
      <c r="J1107">
        <f>IF(AND(H1107="Kaptur",I1107="Окраинов Л.Г.",YEAR(B1107)=2020),E1107,0)</f>
        <v/>
      </c>
    </row>
    <row r="1108">
      <c r="A1108" s="6" t="n">
        <v>1107</v>
      </c>
      <c r="B1108" s="13" t="n">
        <v>44107</v>
      </c>
      <c r="C1108" s="6" t="inlineStr">
        <is>
          <t>A2</t>
        </is>
      </c>
      <c r="D1108" s="6" t="n">
        <v>12</v>
      </c>
      <c r="E1108" s="15" t="n">
        <v>417</v>
      </c>
      <c r="F1108" s="5" t="inlineStr">
        <is>
          <t>нет</t>
        </is>
      </c>
      <c r="G1108" s="7" t="n"/>
      <c r="H1108">
        <f>VLOOKUP(C1108,Автомобили!$A$2:$G$1000,3,0)</f>
        <v/>
      </c>
      <c r="I1108">
        <f>VLOOKUP(D1108,Клиенты!$A$2:$D$1000,2,0)</f>
        <v/>
      </c>
      <c r="J1108">
        <f>IF(AND(H1108="Kaptur",I1108="Окраинов Л.Г.",YEAR(B1108)=2020),E1108,0)</f>
        <v/>
      </c>
    </row>
    <row r="1109">
      <c r="A1109" s="6" t="n">
        <v>1108</v>
      </c>
      <c r="B1109" s="13" t="n">
        <v>44107</v>
      </c>
      <c r="C1109" s="6" t="inlineStr">
        <is>
          <t>A54</t>
        </is>
      </c>
      <c r="D1109" s="6" t="n">
        <v>13</v>
      </c>
      <c r="E1109" s="15" t="n">
        <v>147</v>
      </c>
      <c r="F1109" s="5" t="inlineStr">
        <is>
          <t>нет</t>
        </is>
      </c>
      <c r="G1109" s="7" t="n"/>
      <c r="H1109">
        <f>VLOOKUP(C1109,Автомобили!$A$2:$G$1000,3,0)</f>
        <v/>
      </c>
      <c r="I1109">
        <f>VLOOKUP(D1109,Клиенты!$A$2:$D$1000,2,0)</f>
        <v/>
      </c>
      <c r="J1109">
        <f>IF(AND(H1109="Kaptur",I1109="Окраинов Л.Г.",YEAR(B1109)=2020),E1109,0)</f>
        <v/>
      </c>
    </row>
    <row r="1110">
      <c r="A1110" s="6" t="n">
        <v>1109</v>
      </c>
      <c r="B1110" s="13" t="n">
        <v>44108</v>
      </c>
      <c r="C1110" s="6" t="inlineStr">
        <is>
          <t>A62</t>
        </is>
      </c>
      <c r="D1110" s="6" t="n">
        <v>4</v>
      </c>
      <c r="E1110" s="15" t="n">
        <v>314</v>
      </c>
      <c r="F1110" s="5" t="inlineStr">
        <is>
          <t>нет</t>
        </is>
      </c>
      <c r="G1110" s="7" t="n"/>
      <c r="H1110">
        <f>VLOOKUP(C1110,Автомобили!$A$2:$G$1000,3,0)</f>
        <v/>
      </c>
      <c r="I1110">
        <f>VLOOKUP(D1110,Клиенты!$A$2:$D$1000,2,0)</f>
        <v/>
      </c>
      <c r="J1110">
        <f>IF(AND(H1110="Kaptur",I1110="Окраинов Л.Г.",YEAR(B1110)=2020),E1110,0)</f>
        <v/>
      </c>
    </row>
    <row r="1111">
      <c r="A1111" s="6" t="n">
        <v>1110</v>
      </c>
      <c r="B1111" s="13" t="n">
        <v>44108</v>
      </c>
      <c r="C1111" s="6" t="inlineStr">
        <is>
          <t>A22</t>
        </is>
      </c>
      <c r="D1111" s="6" t="n">
        <v>14</v>
      </c>
      <c r="E1111" s="15" t="n">
        <v>140</v>
      </c>
      <c r="F1111" s="5" t="inlineStr">
        <is>
          <t>нет</t>
        </is>
      </c>
      <c r="G1111" s="7" t="n"/>
      <c r="H1111">
        <f>VLOOKUP(C1111,Автомобили!$A$2:$G$1000,3,0)</f>
        <v/>
      </c>
      <c r="I1111">
        <f>VLOOKUP(D1111,Клиенты!$A$2:$D$1000,2,0)</f>
        <v/>
      </c>
      <c r="J1111">
        <f>IF(AND(H1111="Kaptur",I1111="Окраинов Л.Г.",YEAR(B1111)=2020),E1111,0)</f>
        <v/>
      </c>
    </row>
    <row r="1112">
      <c r="A1112" s="6" t="n">
        <v>1111</v>
      </c>
      <c r="B1112" s="13" t="n">
        <v>44108</v>
      </c>
      <c r="C1112" s="6" t="inlineStr">
        <is>
          <t>A1</t>
        </is>
      </c>
      <c r="D1112" s="6" t="n">
        <v>9</v>
      </c>
      <c r="E1112" s="15" t="n">
        <v>232</v>
      </c>
      <c r="F1112" s="5" t="inlineStr">
        <is>
          <t>нет</t>
        </is>
      </c>
      <c r="G1112" s="7" t="n"/>
      <c r="H1112">
        <f>VLOOKUP(C1112,Автомобили!$A$2:$G$1000,3,0)</f>
        <v/>
      </c>
      <c r="I1112">
        <f>VLOOKUP(D1112,Клиенты!$A$2:$D$1000,2,0)</f>
        <v/>
      </c>
      <c r="J1112">
        <f>IF(AND(H1112="Kaptur",I1112="Окраинов Л.Г.",YEAR(B1112)=2020),E1112,0)</f>
        <v/>
      </c>
    </row>
    <row r="1113">
      <c r="A1113" s="6" t="n">
        <v>1112</v>
      </c>
      <c r="B1113" s="13" t="n">
        <v>44108</v>
      </c>
      <c r="C1113" s="6" t="inlineStr">
        <is>
          <t>A19</t>
        </is>
      </c>
      <c r="D1113" s="6" t="n">
        <v>10</v>
      </c>
      <c r="E1113" s="15" t="n">
        <v>397</v>
      </c>
      <c r="F1113" s="5" t="inlineStr">
        <is>
          <t>нет</t>
        </is>
      </c>
      <c r="G1113" s="7" t="n"/>
      <c r="H1113">
        <f>VLOOKUP(C1113,Автомобили!$A$2:$G$1000,3,0)</f>
        <v/>
      </c>
      <c r="I1113">
        <f>VLOOKUP(D1113,Клиенты!$A$2:$D$1000,2,0)</f>
        <v/>
      </c>
      <c r="J1113">
        <f>IF(AND(H1113="Kaptur",I1113="Окраинов Л.Г.",YEAR(B1113)=2020),E1113,0)</f>
        <v/>
      </c>
    </row>
    <row r="1114">
      <c r="A1114" s="6" t="n">
        <v>1113</v>
      </c>
      <c r="B1114" s="13" t="n">
        <v>44109</v>
      </c>
      <c r="C1114" s="6" t="inlineStr">
        <is>
          <t>A32</t>
        </is>
      </c>
      <c r="D1114" s="6" t="n">
        <v>14</v>
      </c>
      <c r="E1114" s="15" t="n">
        <v>187</v>
      </c>
      <c r="F1114" s="5" t="inlineStr">
        <is>
          <t>нет</t>
        </is>
      </c>
      <c r="G1114" s="7" t="n"/>
      <c r="H1114">
        <f>VLOOKUP(C1114,Автомобили!$A$2:$G$1000,3,0)</f>
        <v/>
      </c>
      <c r="I1114">
        <f>VLOOKUP(D1114,Клиенты!$A$2:$D$1000,2,0)</f>
        <v/>
      </c>
      <c r="J1114">
        <f>IF(AND(H1114="Kaptur",I1114="Окраинов Л.Г.",YEAR(B1114)=2020),E1114,0)</f>
        <v/>
      </c>
    </row>
    <row r="1115">
      <c r="A1115" s="6" t="n">
        <v>1114</v>
      </c>
      <c r="B1115" s="13" t="n">
        <v>44109</v>
      </c>
      <c r="C1115" s="6" t="inlineStr">
        <is>
          <t>A42</t>
        </is>
      </c>
      <c r="D1115" s="6" t="n">
        <v>1</v>
      </c>
      <c r="E1115" s="15" t="n">
        <v>320</v>
      </c>
      <c r="F1115" s="5" t="inlineStr">
        <is>
          <t>нет</t>
        </is>
      </c>
      <c r="G1115" s="7" t="n"/>
      <c r="H1115">
        <f>VLOOKUP(C1115,Автомобили!$A$2:$G$1000,3,0)</f>
        <v/>
      </c>
      <c r="I1115">
        <f>VLOOKUP(D1115,Клиенты!$A$2:$D$1000,2,0)</f>
        <v/>
      </c>
      <c r="J1115">
        <f>IF(AND(H1115="Kaptur",I1115="Окраинов Л.Г.",YEAR(B1115)=2020),E1115,0)</f>
        <v/>
      </c>
    </row>
    <row r="1116">
      <c r="A1116" s="6" t="n">
        <v>1115</v>
      </c>
      <c r="B1116" s="13" t="n">
        <v>44109</v>
      </c>
      <c r="C1116" s="6" t="inlineStr">
        <is>
          <t>A4</t>
        </is>
      </c>
      <c r="D1116" s="6" t="n">
        <v>3</v>
      </c>
      <c r="E1116" s="15" t="n">
        <v>143</v>
      </c>
      <c r="F1116" s="5" t="inlineStr">
        <is>
          <t>нет</t>
        </is>
      </c>
      <c r="G1116" s="7" t="n"/>
      <c r="H1116">
        <f>VLOOKUP(C1116,Автомобили!$A$2:$G$1000,3,0)</f>
        <v/>
      </c>
      <c r="I1116">
        <f>VLOOKUP(D1116,Клиенты!$A$2:$D$1000,2,0)</f>
        <v/>
      </c>
      <c r="J1116">
        <f>IF(AND(H1116="Kaptur",I1116="Окраинов Л.Г.",YEAR(B1116)=2020),E1116,0)</f>
        <v/>
      </c>
    </row>
    <row r="1117">
      <c r="A1117" s="6" t="n">
        <v>1116</v>
      </c>
      <c r="B1117" s="13" t="n">
        <v>44109</v>
      </c>
      <c r="C1117" s="6" t="inlineStr">
        <is>
          <t>A45</t>
        </is>
      </c>
      <c r="D1117" s="6" t="n">
        <v>8</v>
      </c>
      <c r="E1117" s="15" t="n">
        <v>406</v>
      </c>
      <c r="F1117" s="5" t="inlineStr">
        <is>
          <t>нет</t>
        </is>
      </c>
      <c r="G1117" s="7" t="n"/>
      <c r="H1117">
        <f>VLOOKUP(C1117,Автомобили!$A$2:$G$1000,3,0)</f>
        <v/>
      </c>
      <c r="I1117">
        <f>VLOOKUP(D1117,Клиенты!$A$2:$D$1000,2,0)</f>
        <v/>
      </c>
      <c r="J1117">
        <f>IF(AND(H1117="Kaptur",I1117="Окраинов Л.Г.",YEAR(B1117)=2020),E1117,0)</f>
        <v/>
      </c>
    </row>
    <row r="1118">
      <c r="A1118" s="6" t="n">
        <v>1117</v>
      </c>
      <c r="B1118" s="13" t="n">
        <v>44110</v>
      </c>
      <c r="C1118" s="6" t="inlineStr">
        <is>
          <t>A6</t>
        </is>
      </c>
      <c r="D1118" s="6" t="n">
        <v>10</v>
      </c>
      <c r="E1118" s="15" t="n">
        <v>269</v>
      </c>
      <c r="F1118" s="5" t="inlineStr">
        <is>
          <t>нет</t>
        </is>
      </c>
      <c r="G1118" s="7" t="n"/>
      <c r="H1118">
        <f>VLOOKUP(C1118,Автомобили!$A$2:$G$1000,3,0)</f>
        <v/>
      </c>
      <c r="I1118">
        <f>VLOOKUP(D1118,Клиенты!$A$2:$D$1000,2,0)</f>
        <v/>
      </c>
      <c r="J1118">
        <f>IF(AND(H1118="Kaptur",I1118="Окраинов Л.Г.",YEAR(B1118)=2020),E1118,0)</f>
        <v/>
      </c>
    </row>
    <row r="1119">
      <c r="A1119" s="6" t="n">
        <v>1118</v>
      </c>
      <c r="B1119" s="13" t="n">
        <v>44110</v>
      </c>
      <c r="C1119" s="6" t="inlineStr">
        <is>
          <t>A19</t>
        </is>
      </c>
      <c r="D1119" s="6" t="n">
        <v>13</v>
      </c>
      <c r="E1119" s="15" t="n">
        <v>108</v>
      </c>
      <c r="F1119" s="5" t="inlineStr">
        <is>
          <t>нет</t>
        </is>
      </c>
      <c r="G1119" s="7" t="n"/>
      <c r="H1119">
        <f>VLOOKUP(C1119,Автомобили!$A$2:$G$1000,3,0)</f>
        <v/>
      </c>
      <c r="I1119">
        <f>VLOOKUP(D1119,Клиенты!$A$2:$D$1000,2,0)</f>
        <v/>
      </c>
      <c r="J1119">
        <f>IF(AND(H1119="Kaptur",I1119="Окраинов Л.Г.",YEAR(B1119)=2020),E1119,0)</f>
        <v/>
      </c>
    </row>
    <row r="1120">
      <c r="A1120" s="6" t="n">
        <v>1119</v>
      </c>
      <c r="B1120" s="13" t="n">
        <v>44110</v>
      </c>
      <c r="C1120" s="6" t="inlineStr">
        <is>
          <t>A51</t>
        </is>
      </c>
      <c r="D1120" s="6" t="n">
        <v>9</v>
      </c>
      <c r="E1120" s="15" t="n">
        <v>327</v>
      </c>
      <c r="F1120" s="5" t="inlineStr">
        <is>
          <t>нет</t>
        </is>
      </c>
      <c r="G1120" s="7" t="n"/>
      <c r="H1120">
        <f>VLOOKUP(C1120,Автомобили!$A$2:$G$1000,3,0)</f>
        <v/>
      </c>
      <c r="I1120">
        <f>VLOOKUP(D1120,Клиенты!$A$2:$D$1000,2,0)</f>
        <v/>
      </c>
      <c r="J1120">
        <f>IF(AND(H1120="Kaptur",I1120="Окраинов Л.Г.",YEAR(B1120)=2020),E1120,0)</f>
        <v/>
      </c>
    </row>
    <row r="1121">
      <c r="A1121" s="6" t="n">
        <v>1120</v>
      </c>
      <c r="B1121" s="13" t="n">
        <v>44110</v>
      </c>
      <c r="C1121" s="6" t="inlineStr">
        <is>
          <t>A32</t>
        </is>
      </c>
      <c r="D1121" s="6" t="n">
        <v>13</v>
      </c>
      <c r="E1121" s="15" t="n">
        <v>176</v>
      </c>
      <c r="F1121" s="5" t="inlineStr">
        <is>
          <t>нет</t>
        </is>
      </c>
      <c r="G1121" s="7" t="n"/>
      <c r="H1121">
        <f>VLOOKUP(C1121,Автомобили!$A$2:$G$1000,3,0)</f>
        <v/>
      </c>
      <c r="I1121">
        <f>VLOOKUP(D1121,Клиенты!$A$2:$D$1000,2,0)</f>
        <v/>
      </c>
      <c r="J1121">
        <f>IF(AND(H1121="Kaptur",I1121="Окраинов Л.Г.",YEAR(B1121)=2020),E1121,0)</f>
        <v/>
      </c>
    </row>
    <row r="1122">
      <c r="A1122" s="6" t="n">
        <v>1121</v>
      </c>
      <c r="B1122" s="13" t="n">
        <v>44111</v>
      </c>
      <c r="C1122" s="6" t="inlineStr">
        <is>
          <t>A65</t>
        </is>
      </c>
      <c r="D1122" s="6" t="n">
        <v>4</v>
      </c>
      <c r="E1122" s="15" t="n">
        <v>183</v>
      </c>
      <c r="F1122" s="5" t="inlineStr">
        <is>
          <t>нет</t>
        </is>
      </c>
      <c r="G1122" s="7" t="n"/>
      <c r="H1122">
        <f>VLOOKUP(C1122,Автомобили!$A$2:$G$1000,3,0)</f>
        <v/>
      </c>
      <c r="I1122">
        <f>VLOOKUP(D1122,Клиенты!$A$2:$D$1000,2,0)</f>
        <v/>
      </c>
      <c r="J1122">
        <f>IF(AND(H1122="Kaptur",I1122="Окраинов Л.Г.",YEAR(B1122)=2020),E1122,0)</f>
        <v/>
      </c>
    </row>
    <row r="1123">
      <c r="A1123" s="6" t="n">
        <v>1122</v>
      </c>
      <c r="B1123" s="13" t="n">
        <v>44111</v>
      </c>
      <c r="C1123" s="6" t="inlineStr">
        <is>
          <t>A2</t>
        </is>
      </c>
      <c r="D1123" s="6" t="n">
        <v>11</v>
      </c>
      <c r="E1123" s="15" t="n">
        <v>369</v>
      </c>
      <c r="F1123" s="5" t="inlineStr">
        <is>
          <t>нет</t>
        </is>
      </c>
      <c r="G1123" s="7" t="n"/>
      <c r="H1123">
        <f>VLOOKUP(C1123,Автомобили!$A$2:$G$1000,3,0)</f>
        <v/>
      </c>
      <c r="I1123">
        <f>VLOOKUP(D1123,Клиенты!$A$2:$D$1000,2,0)</f>
        <v/>
      </c>
      <c r="J1123">
        <f>IF(AND(H1123="Kaptur",I1123="Окраинов Л.Г.",YEAR(B1123)=2020),E1123,0)</f>
        <v/>
      </c>
    </row>
    <row r="1124">
      <c r="A1124" s="6" t="n">
        <v>1123</v>
      </c>
      <c r="B1124" s="13" t="n">
        <v>44111</v>
      </c>
      <c r="C1124" s="6" t="inlineStr">
        <is>
          <t>A26</t>
        </is>
      </c>
      <c r="D1124" s="6" t="n">
        <v>2</v>
      </c>
      <c r="E1124" s="15" t="n">
        <v>308</v>
      </c>
      <c r="F1124" s="5" t="inlineStr">
        <is>
          <t>нет</t>
        </is>
      </c>
      <c r="G1124" s="7" t="n"/>
      <c r="H1124">
        <f>VLOOKUP(C1124,Автомобили!$A$2:$G$1000,3,0)</f>
        <v/>
      </c>
      <c r="I1124">
        <f>VLOOKUP(D1124,Клиенты!$A$2:$D$1000,2,0)</f>
        <v/>
      </c>
      <c r="J1124">
        <f>IF(AND(H1124="Kaptur",I1124="Окраинов Л.Г.",YEAR(B1124)=2020),E1124,0)</f>
        <v/>
      </c>
    </row>
    <row r="1125">
      <c r="A1125" s="6" t="n">
        <v>1124</v>
      </c>
      <c r="B1125" s="13" t="n">
        <v>44111</v>
      </c>
      <c r="C1125" s="6" t="inlineStr">
        <is>
          <t>A6</t>
        </is>
      </c>
      <c r="D1125" s="6" t="n">
        <v>13</v>
      </c>
      <c r="E1125" s="15" t="n">
        <v>143</v>
      </c>
      <c r="F1125" s="5" t="inlineStr">
        <is>
          <t>нет</t>
        </is>
      </c>
      <c r="G1125" s="7" t="n"/>
      <c r="H1125">
        <f>VLOOKUP(C1125,Автомобили!$A$2:$G$1000,3,0)</f>
        <v/>
      </c>
      <c r="I1125">
        <f>VLOOKUP(D1125,Клиенты!$A$2:$D$1000,2,0)</f>
        <v/>
      </c>
      <c r="J1125">
        <f>IF(AND(H1125="Kaptur",I1125="Окраинов Л.Г.",YEAR(B1125)=2020),E1125,0)</f>
        <v/>
      </c>
    </row>
    <row r="1126">
      <c r="A1126" s="6" t="n">
        <v>1125</v>
      </c>
      <c r="B1126" s="13" t="n">
        <v>44112</v>
      </c>
      <c r="C1126" s="6" t="inlineStr">
        <is>
          <t>A62</t>
        </is>
      </c>
      <c r="D1126" s="6" t="n">
        <v>1</v>
      </c>
      <c r="E1126" s="15" t="n">
        <v>431</v>
      </c>
      <c r="F1126" s="5" t="inlineStr">
        <is>
          <t>нет</t>
        </is>
      </c>
      <c r="G1126" s="7" t="n"/>
      <c r="H1126">
        <f>VLOOKUP(C1126,Автомобили!$A$2:$G$1000,3,0)</f>
        <v/>
      </c>
      <c r="I1126">
        <f>VLOOKUP(D1126,Клиенты!$A$2:$D$1000,2,0)</f>
        <v/>
      </c>
      <c r="J1126">
        <f>IF(AND(H1126="Kaptur",I1126="Окраинов Л.Г.",YEAR(B1126)=2020),E1126,0)</f>
        <v/>
      </c>
    </row>
    <row r="1127">
      <c r="A1127" s="6" t="n">
        <v>1126</v>
      </c>
      <c r="B1127" s="13" t="n">
        <v>44112</v>
      </c>
      <c r="C1127" s="6" t="inlineStr">
        <is>
          <t>A45</t>
        </is>
      </c>
      <c r="D1127" s="6" t="n">
        <v>15</v>
      </c>
      <c r="E1127" s="15" t="n">
        <v>410</v>
      </c>
      <c r="F1127" s="5" t="inlineStr">
        <is>
          <t>нет</t>
        </is>
      </c>
      <c r="G1127" s="7" t="n"/>
      <c r="H1127">
        <f>VLOOKUP(C1127,Автомобили!$A$2:$G$1000,3,0)</f>
        <v/>
      </c>
      <c r="I1127">
        <f>VLOOKUP(D1127,Клиенты!$A$2:$D$1000,2,0)</f>
        <v/>
      </c>
      <c r="J1127">
        <f>IF(AND(H1127="Kaptur",I1127="Окраинов Л.Г.",YEAR(B1127)=2020),E1127,0)</f>
        <v/>
      </c>
    </row>
    <row r="1128">
      <c r="A1128" s="6" t="n">
        <v>1127</v>
      </c>
      <c r="B1128" s="13" t="n">
        <v>44112</v>
      </c>
      <c r="C1128" s="6" t="inlineStr">
        <is>
          <t>A40</t>
        </is>
      </c>
      <c r="D1128" s="6" t="n">
        <v>10</v>
      </c>
      <c r="E1128" s="15" t="n">
        <v>200</v>
      </c>
      <c r="F1128" s="5" t="inlineStr">
        <is>
          <t>нет</t>
        </is>
      </c>
      <c r="G1128" s="7" t="n"/>
      <c r="H1128">
        <f>VLOOKUP(C1128,Автомобили!$A$2:$G$1000,3,0)</f>
        <v/>
      </c>
      <c r="I1128">
        <f>VLOOKUP(D1128,Клиенты!$A$2:$D$1000,2,0)</f>
        <v/>
      </c>
      <c r="J1128">
        <f>IF(AND(H1128="Kaptur",I1128="Окраинов Л.Г.",YEAR(B1128)=2020),E1128,0)</f>
        <v/>
      </c>
    </row>
    <row r="1129">
      <c r="A1129" s="6" t="n">
        <v>1128</v>
      </c>
      <c r="B1129" s="13" t="n">
        <v>44112</v>
      </c>
      <c r="C1129" s="6" t="inlineStr">
        <is>
          <t>A53</t>
        </is>
      </c>
      <c r="D1129" s="6" t="n">
        <v>4</v>
      </c>
      <c r="E1129" s="15" t="n">
        <v>220</v>
      </c>
      <c r="F1129" s="5" t="inlineStr">
        <is>
          <t>нет</t>
        </is>
      </c>
      <c r="G1129" s="7" t="n"/>
      <c r="H1129">
        <f>VLOOKUP(C1129,Автомобили!$A$2:$G$1000,3,0)</f>
        <v/>
      </c>
      <c r="I1129">
        <f>VLOOKUP(D1129,Клиенты!$A$2:$D$1000,2,0)</f>
        <v/>
      </c>
      <c r="J1129">
        <f>IF(AND(H1129="Kaptur",I1129="Окраинов Л.Г.",YEAR(B1129)=2020),E1129,0)</f>
        <v/>
      </c>
    </row>
    <row r="1130">
      <c r="A1130" s="6" t="n">
        <v>1129</v>
      </c>
      <c r="B1130" s="13" t="n">
        <v>44113</v>
      </c>
      <c r="C1130" s="6" t="inlineStr">
        <is>
          <t>A65</t>
        </is>
      </c>
      <c r="D1130" s="6" t="n">
        <v>6</v>
      </c>
      <c r="E1130" s="15" t="n">
        <v>87</v>
      </c>
      <c r="F1130" s="5" t="inlineStr">
        <is>
          <t>нет</t>
        </is>
      </c>
      <c r="G1130" s="7" t="n"/>
      <c r="H1130">
        <f>VLOOKUP(C1130,Автомобили!$A$2:$G$1000,3,0)</f>
        <v/>
      </c>
      <c r="I1130">
        <f>VLOOKUP(D1130,Клиенты!$A$2:$D$1000,2,0)</f>
        <v/>
      </c>
      <c r="J1130">
        <f>IF(AND(H1130="Kaptur",I1130="Окраинов Л.Г.",YEAR(B1130)=2020),E1130,0)</f>
        <v/>
      </c>
    </row>
    <row r="1131">
      <c r="A1131" s="6" t="n">
        <v>1130</v>
      </c>
      <c r="B1131" s="13" t="n">
        <v>44113</v>
      </c>
      <c r="C1131" s="6" t="inlineStr">
        <is>
          <t>A65</t>
        </is>
      </c>
      <c r="D1131" s="6" t="n">
        <v>11</v>
      </c>
      <c r="E1131" s="15" t="n">
        <v>211</v>
      </c>
      <c r="F1131" s="5" t="inlineStr">
        <is>
          <t>нет</t>
        </is>
      </c>
      <c r="G1131" s="7" t="n"/>
      <c r="H1131">
        <f>VLOOKUP(C1131,Автомобили!$A$2:$G$1000,3,0)</f>
        <v/>
      </c>
      <c r="I1131">
        <f>VLOOKUP(D1131,Клиенты!$A$2:$D$1000,2,0)</f>
        <v/>
      </c>
      <c r="J1131">
        <f>IF(AND(H1131="Kaptur",I1131="Окраинов Л.Г.",YEAR(B1131)=2020),E1131,0)</f>
        <v/>
      </c>
    </row>
    <row r="1132">
      <c r="A1132" s="6" t="n">
        <v>1131</v>
      </c>
      <c r="B1132" s="13" t="n">
        <v>44113</v>
      </c>
      <c r="C1132" s="6" t="inlineStr">
        <is>
          <t>A54</t>
        </is>
      </c>
      <c r="D1132" s="6" t="n">
        <v>4</v>
      </c>
      <c r="E1132" s="15" t="n">
        <v>377</v>
      </c>
      <c r="F1132" s="5" t="inlineStr">
        <is>
          <t>нет</t>
        </is>
      </c>
      <c r="G1132" s="7" t="n"/>
      <c r="H1132">
        <f>VLOOKUP(C1132,Автомобили!$A$2:$G$1000,3,0)</f>
        <v/>
      </c>
      <c r="I1132">
        <f>VLOOKUP(D1132,Клиенты!$A$2:$D$1000,2,0)</f>
        <v/>
      </c>
      <c r="J1132">
        <f>IF(AND(H1132="Kaptur",I1132="Окраинов Л.Г.",YEAR(B1132)=2020),E1132,0)</f>
        <v/>
      </c>
    </row>
    <row r="1133">
      <c r="A1133" s="6" t="n">
        <v>1132</v>
      </c>
      <c r="B1133" s="13" t="n">
        <v>44113</v>
      </c>
      <c r="C1133" s="6" t="inlineStr">
        <is>
          <t>A25</t>
        </is>
      </c>
      <c r="D1133" s="6" t="n">
        <v>5</v>
      </c>
      <c r="E1133" s="15" t="n">
        <v>407</v>
      </c>
      <c r="F1133" s="5" t="inlineStr">
        <is>
          <t>нет</t>
        </is>
      </c>
      <c r="G1133" s="7" t="n"/>
      <c r="H1133">
        <f>VLOOKUP(C1133,Автомобили!$A$2:$G$1000,3,0)</f>
        <v/>
      </c>
      <c r="I1133">
        <f>VLOOKUP(D1133,Клиенты!$A$2:$D$1000,2,0)</f>
        <v/>
      </c>
      <c r="J1133">
        <f>IF(AND(H1133="Kaptur",I1133="Окраинов Л.Г.",YEAR(B1133)=2020),E1133,0)</f>
        <v/>
      </c>
    </row>
    <row r="1134">
      <c r="A1134" s="6" t="n">
        <v>1133</v>
      </c>
      <c r="B1134" s="13" t="n">
        <v>44114</v>
      </c>
      <c r="C1134" s="6" t="inlineStr">
        <is>
          <t>A44</t>
        </is>
      </c>
      <c r="D1134" s="6" t="n">
        <v>7</v>
      </c>
      <c r="E1134" s="15" t="n">
        <v>305</v>
      </c>
      <c r="F1134" s="5" t="inlineStr">
        <is>
          <t>нет</t>
        </is>
      </c>
      <c r="G1134" s="7" t="n"/>
      <c r="H1134">
        <f>VLOOKUP(C1134,Автомобили!$A$2:$G$1000,3,0)</f>
        <v/>
      </c>
      <c r="I1134">
        <f>VLOOKUP(D1134,Клиенты!$A$2:$D$1000,2,0)</f>
        <v/>
      </c>
      <c r="J1134">
        <f>IF(AND(H1134="Kaptur",I1134="Окраинов Л.Г.",YEAR(B1134)=2020),E1134,0)</f>
        <v/>
      </c>
    </row>
    <row r="1135">
      <c r="A1135" s="6" t="n">
        <v>1134</v>
      </c>
      <c r="B1135" s="13" t="n">
        <v>44114</v>
      </c>
      <c r="C1135" s="6" t="inlineStr">
        <is>
          <t>A45</t>
        </is>
      </c>
      <c r="D1135" s="6" t="n">
        <v>15</v>
      </c>
      <c r="E1135" s="15" t="n">
        <v>425</v>
      </c>
      <c r="F1135" s="5" t="inlineStr">
        <is>
          <t>нет</t>
        </is>
      </c>
      <c r="G1135" s="7" t="n"/>
      <c r="H1135">
        <f>VLOOKUP(C1135,Автомобили!$A$2:$G$1000,3,0)</f>
        <v/>
      </c>
      <c r="I1135">
        <f>VLOOKUP(D1135,Клиенты!$A$2:$D$1000,2,0)</f>
        <v/>
      </c>
      <c r="J1135">
        <f>IF(AND(H1135="Kaptur",I1135="Окраинов Л.Г.",YEAR(B1135)=2020),E1135,0)</f>
        <v/>
      </c>
    </row>
    <row r="1136">
      <c r="A1136" s="6" t="n">
        <v>1135</v>
      </c>
      <c r="B1136" s="13" t="n">
        <v>44114</v>
      </c>
      <c r="C1136" s="6" t="inlineStr">
        <is>
          <t>A36</t>
        </is>
      </c>
      <c r="D1136" s="6" t="n">
        <v>2</v>
      </c>
      <c r="E1136" s="15" t="n">
        <v>112</v>
      </c>
      <c r="F1136" s="5" t="inlineStr">
        <is>
          <t>нет</t>
        </is>
      </c>
      <c r="G1136" s="7" t="n"/>
      <c r="H1136">
        <f>VLOOKUP(C1136,Автомобили!$A$2:$G$1000,3,0)</f>
        <v/>
      </c>
      <c r="I1136">
        <f>VLOOKUP(D1136,Клиенты!$A$2:$D$1000,2,0)</f>
        <v/>
      </c>
      <c r="J1136">
        <f>IF(AND(H1136="Kaptur",I1136="Окраинов Л.Г.",YEAR(B1136)=2020),E1136,0)</f>
        <v/>
      </c>
    </row>
    <row r="1137">
      <c r="A1137" s="6" t="n">
        <v>1136</v>
      </c>
      <c r="B1137" s="13" t="n">
        <v>44114</v>
      </c>
      <c r="C1137" s="6" t="inlineStr">
        <is>
          <t>A51</t>
        </is>
      </c>
      <c r="D1137" s="6" t="n">
        <v>10</v>
      </c>
      <c r="E1137" s="15" t="n">
        <v>255</v>
      </c>
      <c r="F1137" s="5" t="inlineStr">
        <is>
          <t>нет</t>
        </is>
      </c>
      <c r="G1137" s="7" t="n"/>
      <c r="H1137">
        <f>VLOOKUP(C1137,Автомобили!$A$2:$G$1000,3,0)</f>
        <v/>
      </c>
      <c r="I1137">
        <f>VLOOKUP(D1137,Клиенты!$A$2:$D$1000,2,0)</f>
        <v/>
      </c>
      <c r="J1137">
        <f>IF(AND(H1137="Kaptur",I1137="Окраинов Л.Г.",YEAR(B1137)=2020),E1137,0)</f>
        <v/>
      </c>
    </row>
    <row r="1138">
      <c r="A1138" s="6" t="n">
        <v>1137</v>
      </c>
      <c r="B1138" s="13" t="n">
        <v>44115</v>
      </c>
      <c r="C1138" s="6" t="inlineStr">
        <is>
          <t>A41</t>
        </is>
      </c>
      <c r="D1138" s="6" t="n">
        <v>12</v>
      </c>
      <c r="E1138" s="15" t="n">
        <v>233</v>
      </c>
      <c r="F1138" s="5" t="inlineStr">
        <is>
          <t>нет</t>
        </is>
      </c>
      <c r="G1138" s="7" t="n"/>
      <c r="H1138">
        <f>VLOOKUP(C1138,Автомобили!$A$2:$G$1000,3,0)</f>
        <v/>
      </c>
      <c r="I1138">
        <f>VLOOKUP(D1138,Клиенты!$A$2:$D$1000,2,0)</f>
        <v/>
      </c>
      <c r="J1138">
        <f>IF(AND(H1138="Kaptur",I1138="Окраинов Л.Г.",YEAR(B1138)=2020),E1138,0)</f>
        <v/>
      </c>
    </row>
    <row r="1139">
      <c r="A1139" s="6" t="n">
        <v>1138</v>
      </c>
      <c r="B1139" s="13" t="n">
        <v>44115</v>
      </c>
      <c r="C1139" s="6" t="inlineStr">
        <is>
          <t>A8</t>
        </is>
      </c>
      <c r="D1139" s="6" t="n">
        <v>14</v>
      </c>
      <c r="E1139" s="15" t="n">
        <v>424</v>
      </c>
      <c r="F1139" s="5" t="inlineStr">
        <is>
          <t>нет</t>
        </is>
      </c>
      <c r="G1139" s="7" t="n"/>
      <c r="H1139">
        <f>VLOOKUP(C1139,Автомобили!$A$2:$G$1000,3,0)</f>
        <v/>
      </c>
      <c r="I1139">
        <f>VLOOKUP(D1139,Клиенты!$A$2:$D$1000,2,0)</f>
        <v/>
      </c>
      <c r="J1139">
        <f>IF(AND(H1139="Kaptur",I1139="Окраинов Л.Г.",YEAR(B1139)=2020),E1139,0)</f>
        <v/>
      </c>
    </row>
    <row r="1140">
      <c r="A1140" s="6" t="n">
        <v>1139</v>
      </c>
      <c r="B1140" s="13" t="n">
        <v>44115</v>
      </c>
      <c r="C1140" s="6" t="inlineStr">
        <is>
          <t>A42</t>
        </is>
      </c>
      <c r="D1140" s="6" t="n">
        <v>12</v>
      </c>
      <c r="E1140" s="15" t="n">
        <v>348</v>
      </c>
      <c r="F1140" s="5" t="inlineStr">
        <is>
          <t>нет</t>
        </is>
      </c>
      <c r="G1140" s="7" t="n"/>
      <c r="H1140">
        <f>VLOOKUP(C1140,Автомобили!$A$2:$G$1000,3,0)</f>
        <v/>
      </c>
      <c r="I1140">
        <f>VLOOKUP(D1140,Клиенты!$A$2:$D$1000,2,0)</f>
        <v/>
      </c>
      <c r="J1140">
        <f>IF(AND(H1140="Kaptur",I1140="Окраинов Л.Г.",YEAR(B1140)=2020),E1140,0)</f>
        <v/>
      </c>
    </row>
    <row r="1141">
      <c r="A1141" s="6" t="n">
        <v>1140</v>
      </c>
      <c r="B1141" s="13" t="n">
        <v>44115</v>
      </c>
      <c r="C1141" s="6" t="inlineStr">
        <is>
          <t>A61</t>
        </is>
      </c>
      <c r="D1141" s="6" t="n">
        <v>11</v>
      </c>
      <c r="E1141" s="15" t="n">
        <v>193</v>
      </c>
      <c r="F1141" s="5" t="inlineStr">
        <is>
          <t>нет</t>
        </is>
      </c>
      <c r="G1141" s="7" t="n"/>
      <c r="H1141">
        <f>VLOOKUP(C1141,Автомобили!$A$2:$G$1000,3,0)</f>
        <v/>
      </c>
      <c r="I1141">
        <f>VLOOKUP(D1141,Клиенты!$A$2:$D$1000,2,0)</f>
        <v/>
      </c>
      <c r="J1141">
        <f>IF(AND(H1141="Kaptur",I1141="Окраинов Л.Г.",YEAR(B1141)=2020),E1141,0)</f>
        <v/>
      </c>
    </row>
    <row r="1142">
      <c r="A1142" s="6" t="n">
        <v>1141</v>
      </c>
      <c r="B1142" s="13" t="n">
        <v>44116</v>
      </c>
      <c r="C1142" s="6" t="inlineStr">
        <is>
          <t>A65</t>
        </is>
      </c>
      <c r="D1142" s="6" t="n">
        <v>3</v>
      </c>
      <c r="E1142" s="15" t="n">
        <v>361</v>
      </c>
      <c r="F1142" s="5" t="inlineStr">
        <is>
          <t>нет</t>
        </is>
      </c>
      <c r="G1142" s="7" t="n"/>
      <c r="H1142">
        <f>VLOOKUP(C1142,Автомобили!$A$2:$G$1000,3,0)</f>
        <v/>
      </c>
      <c r="I1142">
        <f>VLOOKUP(D1142,Клиенты!$A$2:$D$1000,2,0)</f>
        <v/>
      </c>
      <c r="J1142">
        <f>IF(AND(H1142="Kaptur",I1142="Окраинов Л.Г.",YEAR(B1142)=2020),E1142,0)</f>
        <v/>
      </c>
    </row>
    <row r="1143">
      <c r="A1143" s="6" t="n">
        <v>1142</v>
      </c>
      <c r="B1143" s="13" t="n">
        <v>44116</v>
      </c>
      <c r="C1143" s="6" t="inlineStr">
        <is>
          <t>A11</t>
        </is>
      </c>
      <c r="D1143" s="6" t="n">
        <v>8</v>
      </c>
      <c r="E1143" s="15" t="n">
        <v>108</v>
      </c>
      <c r="F1143" s="5" t="inlineStr">
        <is>
          <t>нет</t>
        </is>
      </c>
      <c r="G1143" s="7" t="n"/>
      <c r="H1143">
        <f>VLOOKUP(C1143,Автомобили!$A$2:$G$1000,3,0)</f>
        <v/>
      </c>
      <c r="I1143">
        <f>VLOOKUP(D1143,Клиенты!$A$2:$D$1000,2,0)</f>
        <v/>
      </c>
      <c r="J1143">
        <f>IF(AND(H1143="Kaptur",I1143="Окраинов Л.Г.",YEAR(B1143)=2020),E1143,0)</f>
        <v/>
      </c>
    </row>
    <row r="1144">
      <c r="A1144" s="6" t="n">
        <v>1143</v>
      </c>
      <c r="B1144" s="13" t="n">
        <v>44116</v>
      </c>
      <c r="C1144" s="6" t="inlineStr">
        <is>
          <t>A58</t>
        </is>
      </c>
      <c r="D1144" s="6" t="n">
        <v>13</v>
      </c>
      <c r="E1144" s="15" t="n">
        <v>76</v>
      </c>
      <c r="F1144" s="5" t="inlineStr">
        <is>
          <t>нет</t>
        </is>
      </c>
      <c r="G1144" s="7" t="n"/>
      <c r="H1144">
        <f>VLOOKUP(C1144,Автомобили!$A$2:$G$1000,3,0)</f>
        <v/>
      </c>
      <c r="I1144">
        <f>VLOOKUP(D1144,Клиенты!$A$2:$D$1000,2,0)</f>
        <v/>
      </c>
      <c r="J1144">
        <f>IF(AND(H1144="Kaptur",I1144="Окраинов Л.Г.",YEAR(B1144)=2020),E1144,0)</f>
        <v/>
      </c>
    </row>
    <row r="1145">
      <c r="A1145" s="6" t="n">
        <v>1144</v>
      </c>
      <c r="B1145" s="13" t="n">
        <v>44116</v>
      </c>
      <c r="C1145" s="6" t="inlineStr">
        <is>
          <t>A45</t>
        </is>
      </c>
      <c r="D1145" s="6" t="n">
        <v>1</v>
      </c>
      <c r="E1145" s="15" t="n">
        <v>370</v>
      </c>
      <c r="F1145" s="5" t="inlineStr">
        <is>
          <t>нет</t>
        </is>
      </c>
      <c r="G1145" s="7" t="n"/>
      <c r="H1145">
        <f>VLOOKUP(C1145,Автомобили!$A$2:$G$1000,3,0)</f>
        <v/>
      </c>
      <c r="I1145">
        <f>VLOOKUP(D1145,Клиенты!$A$2:$D$1000,2,0)</f>
        <v/>
      </c>
      <c r="J1145">
        <f>IF(AND(H1145="Kaptur",I1145="Окраинов Л.Г.",YEAR(B1145)=2020),E1145,0)</f>
        <v/>
      </c>
    </row>
    <row r="1146">
      <c r="A1146" s="6" t="n">
        <v>1145</v>
      </c>
      <c r="B1146" s="13" t="n">
        <v>44117</v>
      </c>
      <c r="C1146" s="6" t="inlineStr">
        <is>
          <t>A23</t>
        </is>
      </c>
      <c r="D1146" s="6" t="n">
        <v>11</v>
      </c>
      <c r="E1146" s="15" t="n">
        <v>411</v>
      </c>
      <c r="F1146" s="5" t="inlineStr">
        <is>
          <t>нет</t>
        </is>
      </c>
      <c r="G1146" s="7" t="n"/>
      <c r="H1146">
        <f>VLOOKUP(C1146,Автомобили!$A$2:$G$1000,3,0)</f>
        <v/>
      </c>
      <c r="I1146">
        <f>VLOOKUP(D1146,Клиенты!$A$2:$D$1000,2,0)</f>
        <v/>
      </c>
      <c r="J1146">
        <f>IF(AND(H1146="Kaptur",I1146="Окраинов Л.Г.",YEAR(B1146)=2020),E1146,0)</f>
        <v/>
      </c>
    </row>
    <row r="1147">
      <c r="A1147" s="6" t="n">
        <v>1146</v>
      </c>
      <c r="B1147" s="13" t="n">
        <v>44117</v>
      </c>
      <c r="C1147" s="6" t="inlineStr">
        <is>
          <t>A11</t>
        </is>
      </c>
      <c r="D1147" s="6" t="n">
        <v>4</v>
      </c>
      <c r="E1147" s="15" t="n">
        <v>252</v>
      </c>
      <c r="F1147" s="5" t="inlineStr">
        <is>
          <t>нет</t>
        </is>
      </c>
      <c r="G1147" s="7" t="n"/>
      <c r="H1147">
        <f>VLOOKUP(C1147,Автомобили!$A$2:$G$1000,3,0)</f>
        <v/>
      </c>
      <c r="I1147">
        <f>VLOOKUP(D1147,Клиенты!$A$2:$D$1000,2,0)</f>
        <v/>
      </c>
      <c r="J1147">
        <f>IF(AND(H1147="Kaptur",I1147="Окраинов Л.Г.",YEAR(B1147)=2020),E1147,0)</f>
        <v/>
      </c>
    </row>
    <row r="1148">
      <c r="A1148" s="6" t="n">
        <v>1147</v>
      </c>
      <c r="B1148" s="13" t="n">
        <v>44117</v>
      </c>
      <c r="C1148" s="6" t="inlineStr">
        <is>
          <t>A2</t>
        </is>
      </c>
      <c r="D1148" s="6" t="n">
        <v>12</v>
      </c>
      <c r="E1148" s="15" t="n">
        <v>219</v>
      </c>
      <c r="F1148" s="5" t="inlineStr">
        <is>
          <t>нет</t>
        </is>
      </c>
      <c r="G1148" s="7" t="n"/>
      <c r="H1148">
        <f>VLOOKUP(C1148,Автомобили!$A$2:$G$1000,3,0)</f>
        <v/>
      </c>
      <c r="I1148">
        <f>VLOOKUP(D1148,Клиенты!$A$2:$D$1000,2,0)</f>
        <v/>
      </c>
      <c r="J1148">
        <f>IF(AND(H1148="Kaptur",I1148="Окраинов Л.Г.",YEAR(B1148)=2020),E1148,0)</f>
        <v/>
      </c>
    </row>
    <row r="1149">
      <c r="A1149" s="6" t="n">
        <v>1148</v>
      </c>
      <c r="B1149" s="13" t="n">
        <v>44117</v>
      </c>
      <c r="C1149" s="6" t="inlineStr">
        <is>
          <t>A17</t>
        </is>
      </c>
      <c r="D1149" s="6" t="n">
        <v>15</v>
      </c>
      <c r="E1149" s="15" t="n">
        <v>307</v>
      </c>
      <c r="F1149" s="5" t="inlineStr">
        <is>
          <t>нет</t>
        </is>
      </c>
      <c r="G1149" s="7" t="n"/>
      <c r="H1149">
        <f>VLOOKUP(C1149,Автомобили!$A$2:$G$1000,3,0)</f>
        <v/>
      </c>
      <c r="I1149">
        <f>VLOOKUP(D1149,Клиенты!$A$2:$D$1000,2,0)</f>
        <v/>
      </c>
      <c r="J1149">
        <f>IF(AND(H1149="Kaptur",I1149="Окраинов Л.Г.",YEAR(B1149)=2020),E1149,0)</f>
        <v/>
      </c>
    </row>
    <row r="1150">
      <c r="A1150" s="6" t="n">
        <v>1149</v>
      </c>
      <c r="B1150" s="13" t="n">
        <v>44118</v>
      </c>
      <c r="C1150" s="6" t="inlineStr">
        <is>
          <t>A45</t>
        </is>
      </c>
      <c r="D1150" s="6" t="n">
        <v>15</v>
      </c>
      <c r="E1150" s="15" t="n">
        <v>92</v>
      </c>
      <c r="F1150" s="5" t="inlineStr">
        <is>
          <t>нет</t>
        </is>
      </c>
      <c r="G1150" s="7" t="n"/>
      <c r="H1150">
        <f>VLOOKUP(C1150,Автомобили!$A$2:$G$1000,3,0)</f>
        <v/>
      </c>
      <c r="I1150">
        <f>VLOOKUP(D1150,Клиенты!$A$2:$D$1000,2,0)</f>
        <v/>
      </c>
      <c r="J1150">
        <f>IF(AND(H1150="Kaptur",I1150="Окраинов Л.Г.",YEAR(B1150)=2020),E1150,0)</f>
        <v/>
      </c>
    </row>
    <row r="1151">
      <c r="A1151" s="6" t="n">
        <v>1150</v>
      </c>
      <c r="B1151" s="13" t="n">
        <v>44118</v>
      </c>
      <c r="C1151" s="6" t="inlineStr">
        <is>
          <t>A52</t>
        </is>
      </c>
      <c r="D1151" s="6" t="n">
        <v>14</v>
      </c>
      <c r="E1151" s="15" t="n">
        <v>421</v>
      </c>
      <c r="F1151" s="5" t="inlineStr">
        <is>
          <t>нет</t>
        </is>
      </c>
      <c r="G1151" s="7" t="n"/>
      <c r="H1151">
        <f>VLOOKUP(C1151,Автомобили!$A$2:$G$1000,3,0)</f>
        <v/>
      </c>
      <c r="I1151">
        <f>VLOOKUP(D1151,Клиенты!$A$2:$D$1000,2,0)</f>
        <v/>
      </c>
      <c r="J1151">
        <f>IF(AND(H1151="Kaptur",I1151="Окраинов Л.Г.",YEAR(B1151)=2020),E1151,0)</f>
        <v/>
      </c>
    </row>
    <row r="1152">
      <c r="A1152" s="6" t="n">
        <v>1151</v>
      </c>
      <c r="B1152" s="13" t="n">
        <v>44118</v>
      </c>
      <c r="C1152" s="6" t="inlineStr">
        <is>
          <t>A64</t>
        </is>
      </c>
      <c r="D1152" s="6" t="n">
        <v>8</v>
      </c>
      <c r="E1152" s="15" t="n">
        <v>263</v>
      </c>
      <c r="F1152" s="5" t="inlineStr">
        <is>
          <t>нет</t>
        </is>
      </c>
      <c r="G1152" s="7" t="n"/>
      <c r="H1152">
        <f>VLOOKUP(C1152,Автомобили!$A$2:$G$1000,3,0)</f>
        <v/>
      </c>
      <c r="I1152">
        <f>VLOOKUP(D1152,Клиенты!$A$2:$D$1000,2,0)</f>
        <v/>
      </c>
      <c r="J1152">
        <f>IF(AND(H1152="Kaptur",I1152="Окраинов Л.Г.",YEAR(B1152)=2020),E1152,0)</f>
        <v/>
      </c>
    </row>
    <row r="1153">
      <c r="A1153" s="6" t="n">
        <v>1152</v>
      </c>
      <c r="B1153" s="13" t="n">
        <v>44118</v>
      </c>
      <c r="C1153" s="6" t="inlineStr">
        <is>
          <t>A48</t>
        </is>
      </c>
      <c r="D1153" s="6" t="n">
        <v>11</v>
      </c>
      <c r="E1153" s="15" t="n">
        <v>247</v>
      </c>
      <c r="F1153" s="5" t="inlineStr">
        <is>
          <t>нет</t>
        </is>
      </c>
      <c r="G1153" s="7" t="n"/>
      <c r="H1153">
        <f>VLOOKUP(C1153,Автомобили!$A$2:$G$1000,3,0)</f>
        <v/>
      </c>
      <c r="I1153">
        <f>VLOOKUP(D1153,Клиенты!$A$2:$D$1000,2,0)</f>
        <v/>
      </c>
      <c r="J1153">
        <f>IF(AND(H1153="Kaptur",I1153="Окраинов Л.Г.",YEAR(B1153)=2020),E1153,0)</f>
        <v/>
      </c>
    </row>
    <row r="1154">
      <c r="A1154" s="6" t="n">
        <v>1153</v>
      </c>
      <c r="B1154" s="13" t="n">
        <v>44119</v>
      </c>
      <c r="C1154" s="6" t="inlineStr">
        <is>
          <t>A6</t>
        </is>
      </c>
      <c r="D1154" s="6" t="n">
        <v>2</v>
      </c>
      <c r="E1154" s="15" t="n">
        <v>78</v>
      </c>
      <c r="F1154" s="5" t="inlineStr">
        <is>
          <t>нет</t>
        </is>
      </c>
      <c r="G1154" s="7" t="n"/>
      <c r="H1154">
        <f>VLOOKUP(C1154,Автомобили!$A$2:$G$1000,3,0)</f>
        <v/>
      </c>
      <c r="I1154">
        <f>VLOOKUP(D1154,Клиенты!$A$2:$D$1000,2,0)</f>
        <v/>
      </c>
      <c r="J1154">
        <f>IF(AND(H1154="Kaptur",I1154="Окраинов Л.Г.",YEAR(B1154)=2020),E1154,0)</f>
        <v/>
      </c>
    </row>
    <row r="1155">
      <c r="A1155" s="6" t="n">
        <v>1154</v>
      </c>
      <c r="B1155" s="13" t="n">
        <v>44119</v>
      </c>
      <c r="C1155" s="6" t="inlineStr">
        <is>
          <t>A11</t>
        </is>
      </c>
      <c r="D1155" s="6" t="n">
        <v>10</v>
      </c>
      <c r="E1155" s="15" t="n">
        <v>208</v>
      </c>
      <c r="F1155" s="5" t="inlineStr">
        <is>
          <t>нет</t>
        </is>
      </c>
      <c r="G1155" s="7" t="n"/>
      <c r="H1155">
        <f>VLOOKUP(C1155,Автомобили!$A$2:$G$1000,3,0)</f>
        <v/>
      </c>
      <c r="I1155">
        <f>VLOOKUP(D1155,Клиенты!$A$2:$D$1000,2,0)</f>
        <v/>
      </c>
      <c r="J1155">
        <f>IF(AND(H1155="Kaptur",I1155="Окраинов Л.Г.",YEAR(B1155)=2020),E1155,0)</f>
        <v/>
      </c>
    </row>
    <row r="1156">
      <c r="A1156" s="6" t="n">
        <v>1155</v>
      </c>
      <c r="B1156" s="13" t="n">
        <v>44119</v>
      </c>
      <c r="C1156" s="6" t="inlineStr">
        <is>
          <t>A61</t>
        </is>
      </c>
      <c r="D1156" s="6" t="n">
        <v>6</v>
      </c>
      <c r="E1156" s="15" t="n">
        <v>127</v>
      </c>
      <c r="F1156" s="5" t="inlineStr">
        <is>
          <t>нет</t>
        </is>
      </c>
      <c r="G1156" s="7" t="n"/>
      <c r="H1156">
        <f>VLOOKUP(C1156,Автомобили!$A$2:$G$1000,3,0)</f>
        <v/>
      </c>
      <c r="I1156">
        <f>VLOOKUP(D1156,Клиенты!$A$2:$D$1000,2,0)</f>
        <v/>
      </c>
      <c r="J1156">
        <f>IF(AND(H1156="Kaptur",I1156="Окраинов Л.Г.",YEAR(B1156)=2020),E1156,0)</f>
        <v/>
      </c>
    </row>
    <row r="1157">
      <c r="A1157" s="6" t="n">
        <v>1156</v>
      </c>
      <c r="B1157" s="13" t="n">
        <v>44119</v>
      </c>
      <c r="C1157" s="6" t="inlineStr">
        <is>
          <t>A26</t>
        </is>
      </c>
      <c r="D1157" s="6" t="n">
        <v>5</v>
      </c>
      <c r="E1157" s="15" t="n">
        <v>123</v>
      </c>
      <c r="F1157" s="5" t="inlineStr">
        <is>
          <t>нет</t>
        </is>
      </c>
      <c r="G1157" s="7" t="n"/>
      <c r="H1157">
        <f>VLOOKUP(C1157,Автомобили!$A$2:$G$1000,3,0)</f>
        <v/>
      </c>
      <c r="I1157">
        <f>VLOOKUP(D1157,Клиенты!$A$2:$D$1000,2,0)</f>
        <v/>
      </c>
      <c r="J1157">
        <f>IF(AND(H1157="Kaptur",I1157="Окраинов Л.Г.",YEAR(B1157)=2020),E1157,0)</f>
        <v/>
      </c>
    </row>
    <row r="1158">
      <c r="A1158" s="6" t="n">
        <v>1157</v>
      </c>
      <c r="B1158" s="13" t="n">
        <v>44120</v>
      </c>
      <c r="C1158" s="6" t="inlineStr">
        <is>
          <t>A35</t>
        </is>
      </c>
      <c r="D1158" s="6" t="n">
        <v>9</v>
      </c>
      <c r="E1158" s="15" t="n">
        <v>337</v>
      </c>
      <c r="F1158" s="5" t="inlineStr">
        <is>
          <t>нет</t>
        </is>
      </c>
      <c r="G1158" s="7" t="n"/>
      <c r="H1158">
        <f>VLOOKUP(C1158,Автомобили!$A$2:$G$1000,3,0)</f>
        <v/>
      </c>
      <c r="I1158">
        <f>VLOOKUP(D1158,Клиенты!$A$2:$D$1000,2,0)</f>
        <v/>
      </c>
      <c r="J1158">
        <f>IF(AND(H1158="Kaptur",I1158="Окраинов Л.Г.",YEAR(B1158)=2020),E1158,0)</f>
        <v/>
      </c>
    </row>
    <row r="1159">
      <c r="A1159" s="6" t="n">
        <v>1158</v>
      </c>
      <c r="B1159" s="13" t="n">
        <v>44120</v>
      </c>
      <c r="C1159" s="6" t="inlineStr">
        <is>
          <t>A27</t>
        </is>
      </c>
      <c r="D1159" s="6" t="n">
        <v>10</v>
      </c>
      <c r="E1159" s="15" t="n">
        <v>436</v>
      </c>
      <c r="F1159" s="5" t="inlineStr">
        <is>
          <t>нет</t>
        </is>
      </c>
      <c r="G1159" s="7" t="n"/>
      <c r="H1159">
        <f>VLOOKUP(C1159,Автомобили!$A$2:$G$1000,3,0)</f>
        <v/>
      </c>
      <c r="I1159">
        <f>VLOOKUP(D1159,Клиенты!$A$2:$D$1000,2,0)</f>
        <v/>
      </c>
      <c r="J1159">
        <f>IF(AND(H1159="Kaptur",I1159="Окраинов Л.Г.",YEAR(B1159)=2020),E1159,0)</f>
        <v/>
      </c>
    </row>
    <row r="1160">
      <c r="A1160" s="6" t="n">
        <v>1159</v>
      </c>
      <c r="B1160" s="13" t="n">
        <v>44120</v>
      </c>
      <c r="C1160" s="6" t="inlineStr">
        <is>
          <t>A33</t>
        </is>
      </c>
      <c r="D1160" s="6" t="n">
        <v>7</v>
      </c>
      <c r="E1160" s="15" t="n">
        <v>352</v>
      </c>
      <c r="F1160" s="5" t="inlineStr">
        <is>
          <t>нет</t>
        </is>
      </c>
      <c r="G1160" s="7" t="n"/>
      <c r="H1160">
        <f>VLOOKUP(C1160,Автомобили!$A$2:$G$1000,3,0)</f>
        <v/>
      </c>
      <c r="I1160">
        <f>VLOOKUP(D1160,Клиенты!$A$2:$D$1000,2,0)</f>
        <v/>
      </c>
      <c r="J1160">
        <f>IF(AND(H1160="Kaptur",I1160="Окраинов Л.Г.",YEAR(B1160)=2020),E1160,0)</f>
        <v/>
      </c>
    </row>
    <row r="1161">
      <c r="A1161" s="6" t="n">
        <v>1160</v>
      </c>
      <c r="B1161" s="13" t="n">
        <v>44120</v>
      </c>
      <c r="C1161" s="6" t="inlineStr">
        <is>
          <t>A31</t>
        </is>
      </c>
      <c r="D1161" s="6" t="n">
        <v>1</v>
      </c>
      <c r="E1161" s="15" t="n">
        <v>324</v>
      </c>
      <c r="F1161" s="5" t="inlineStr">
        <is>
          <t>нет</t>
        </is>
      </c>
      <c r="G1161" s="7" t="n"/>
      <c r="H1161">
        <f>VLOOKUP(C1161,Автомобили!$A$2:$G$1000,3,0)</f>
        <v/>
      </c>
      <c r="I1161">
        <f>VLOOKUP(D1161,Клиенты!$A$2:$D$1000,2,0)</f>
        <v/>
      </c>
      <c r="J1161">
        <f>IF(AND(H1161="Kaptur",I1161="Окраинов Л.Г.",YEAR(B1161)=2020),E1161,0)</f>
        <v/>
      </c>
    </row>
    <row r="1162">
      <c r="A1162" s="6" t="n">
        <v>1161</v>
      </c>
      <c r="B1162" s="13" t="n">
        <v>44121</v>
      </c>
      <c r="C1162" s="6" t="inlineStr">
        <is>
          <t>A14</t>
        </is>
      </c>
      <c r="D1162" s="6" t="n">
        <v>7</v>
      </c>
      <c r="E1162" s="15" t="n">
        <v>232</v>
      </c>
      <c r="F1162" s="5" t="inlineStr">
        <is>
          <t>нет</t>
        </is>
      </c>
      <c r="G1162" s="7" t="n"/>
      <c r="H1162">
        <f>VLOOKUP(C1162,Автомобили!$A$2:$G$1000,3,0)</f>
        <v/>
      </c>
      <c r="I1162">
        <f>VLOOKUP(D1162,Клиенты!$A$2:$D$1000,2,0)</f>
        <v/>
      </c>
      <c r="J1162">
        <f>IF(AND(H1162="Kaptur",I1162="Окраинов Л.Г.",YEAR(B1162)=2020),E1162,0)</f>
        <v/>
      </c>
    </row>
    <row r="1163">
      <c r="A1163" s="6" t="n">
        <v>1162</v>
      </c>
      <c r="B1163" s="13" t="n">
        <v>44121</v>
      </c>
      <c r="C1163" s="6" t="inlineStr">
        <is>
          <t>A33</t>
        </is>
      </c>
      <c r="D1163" s="6" t="n">
        <v>11</v>
      </c>
      <c r="E1163" s="15" t="n">
        <v>159</v>
      </c>
      <c r="F1163" s="5" t="inlineStr">
        <is>
          <t>нет</t>
        </is>
      </c>
      <c r="G1163" s="7" t="n"/>
      <c r="H1163">
        <f>VLOOKUP(C1163,Автомобили!$A$2:$G$1000,3,0)</f>
        <v/>
      </c>
      <c r="I1163">
        <f>VLOOKUP(D1163,Клиенты!$A$2:$D$1000,2,0)</f>
        <v/>
      </c>
      <c r="J1163">
        <f>IF(AND(H1163="Kaptur",I1163="Окраинов Л.Г.",YEAR(B1163)=2020),E1163,0)</f>
        <v/>
      </c>
    </row>
    <row r="1164">
      <c r="A1164" s="6" t="n">
        <v>1163</v>
      </c>
      <c r="B1164" s="13" t="n">
        <v>44121</v>
      </c>
      <c r="C1164" s="6" t="inlineStr">
        <is>
          <t>A24</t>
        </is>
      </c>
      <c r="D1164" s="6" t="n">
        <v>6</v>
      </c>
      <c r="E1164" s="15" t="n">
        <v>400</v>
      </c>
      <c r="F1164" s="5" t="inlineStr">
        <is>
          <t>нет</t>
        </is>
      </c>
      <c r="G1164" s="7" t="n"/>
      <c r="H1164">
        <f>VLOOKUP(C1164,Автомобили!$A$2:$G$1000,3,0)</f>
        <v/>
      </c>
      <c r="I1164">
        <f>VLOOKUP(D1164,Клиенты!$A$2:$D$1000,2,0)</f>
        <v/>
      </c>
      <c r="J1164">
        <f>IF(AND(H1164="Kaptur",I1164="Окраинов Л.Г.",YEAR(B1164)=2020),E1164,0)</f>
        <v/>
      </c>
    </row>
    <row r="1165">
      <c r="A1165" s="6" t="n">
        <v>1164</v>
      </c>
      <c r="B1165" s="13" t="n">
        <v>44121</v>
      </c>
      <c r="C1165" s="6" t="inlineStr">
        <is>
          <t>A2</t>
        </is>
      </c>
      <c r="D1165" s="6" t="n">
        <v>15</v>
      </c>
      <c r="E1165" s="15" t="n">
        <v>192</v>
      </c>
      <c r="F1165" s="5" t="inlineStr">
        <is>
          <t>нет</t>
        </is>
      </c>
      <c r="G1165" s="7" t="n"/>
      <c r="H1165">
        <f>VLOOKUP(C1165,Автомобили!$A$2:$G$1000,3,0)</f>
        <v/>
      </c>
      <c r="I1165">
        <f>VLOOKUP(D1165,Клиенты!$A$2:$D$1000,2,0)</f>
        <v/>
      </c>
      <c r="J1165">
        <f>IF(AND(H1165="Kaptur",I1165="Окраинов Л.Г.",YEAR(B1165)=2020),E1165,0)</f>
        <v/>
      </c>
    </row>
    <row r="1166">
      <c r="A1166" s="6" t="n">
        <v>1165</v>
      </c>
      <c r="B1166" s="13" t="n">
        <v>44122</v>
      </c>
      <c r="C1166" s="6" t="inlineStr">
        <is>
          <t>A20</t>
        </is>
      </c>
      <c r="D1166" s="6" t="n">
        <v>5</v>
      </c>
      <c r="E1166" s="15" t="n">
        <v>252</v>
      </c>
      <c r="F1166" s="5" t="inlineStr">
        <is>
          <t>нет</t>
        </is>
      </c>
      <c r="G1166" s="7" t="n"/>
      <c r="H1166">
        <f>VLOOKUP(C1166,Автомобили!$A$2:$G$1000,3,0)</f>
        <v/>
      </c>
      <c r="I1166">
        <f>VLOOKUP(D1166,Клиенты!$A$2:$D$1000,2,0)</f>
        <v/>
      </c>
      <c r="J1166">
        <f>IF(AND(H1166="Kaptur",I1166="Окраинов Л.Г.",YEAR(B1166)=2020),E1166,0)</f>
        <v/>
      </c>
    </row>
    <row r="1167">
      <c r="A1167" s="6" t="n">
        <v>1166</v>
      </c>
      <c r="B1167" s="13" t="n">
        <v>44122</v>
      </c>
      <c r="C1167" s="6" t="inlineStr">
        <is>
          <t>A63</t>
        </is>
      </c>
      <c r="D1167" s="6" t="n">
        <v>8</v>
      </c>
      <c r="E1167" s="15" t="n">
        <v>135</v>
      </c>
      <c r="F1167" s="5" t="inlineStr">
        <is>
          <t>нет</t>
        </is>
      </c>
      <c r="G1167" s="7" t="n"/>
      <c r="H1167">
        <f>VLOOKUP(C1167,Автомобили!$A$2:$G$1000,3,0)</f>
        <v/>
      </c>
      <c r="I1167">
        <f>VLOOKUP(D1167,Клиенты!$A$2:$D$1000,2,0)</f>
        <v/>
      </c>
      <c r="J1167">
        <f>IF(AND(H1167="Kaptur",I1167="Окраинов Л.Г.",YEAR(B1167)=2020),E1167,0)</f>
        <v/>
      </c>
    </row>
    <row r="1168">
      <c r="A1168" s="6" t="n">
        <v>1167</v>
      </c>
      <c r="B1168" s="13" t="n">
        <v>44122</v>
      </c>
      <c r="C1168" s="6" t="inlineStr">
        <is>
          <t>A39</t>
        </is>
      </c>
      <c r="D1168" s="6" t="n">
        <v>13</v>
      </c>
      <c r="E1168" s="15" t="n">
        <v>402</v>
      </c>
      <c r="F1168" s="5" t="inlineStr">
        <is>
          <t>нет</t>
        </is>
      </c>
      <c r="G1168" s="7" t="n"/>
      <c r="H1168">
        <f>VLOOKUP(C1168,Автомобили!$A$2:$G$1000,3,0)</f>
        <v/>
      </c>
      <c r="I1168">
        <f>VLOOKUP(D1168,Клиенты!$A$2:$D$1000,2,0)</f>
        <v/>
      </c>
      <c r="J1168">
        <f>IF(AND(H1168="Kaptur",I1168="Окраинов Л.Г.",YEAR(B1168)=2020),E1168,0)</f>
        <v/>
      </c>
    </row>
    <row r="1169">
      <c r="A1169" s="6" t="n">
        <v>1168</v>
      </c>
      <c r="B1169" s="13" t="n">
        <v>44122</v>
      </c>
      <c r="C1169" s="6" t="inlineStr">
        <is>
          <t>A58</t>
        </is>
      </c>
      <c r="D1169" s="6" t="n">
        <v>13</v>
      </c>
      <c r="E1169" s="15" t="n">
        <v>285</v>
      </c>
      <c r="F1169" s="5" t="inlineStr">
        <is>
          <t>нет</t>
        </is>
      </c>
      <c r="G1169" s="7" t="n"/>
      <c r="H1169">
        <f>VLOOKUP(C1169,Автомобили!$A$2:$G$1000,3,0)</f>
        <v/>
      </c>
      <c r="I1169">
        <f>VLOOKUP(D1169,Клиенты!$A$2:$D$1000,2,0)</f>
        <v/>
      </c>
      <c r="J1169">
        <f>IF(AND(H1169="Kaptur",I1169="Окраинов Л.Г.",YEAR(B1169)=2020),E1169,0)</f>
        <v/>
      </c>
    </row>
    <row r="1170">
      <c r="A1170" s="6" t="n">
        <v>1169</v>
      </c>
      <c r="B1170" s="13" t="n">
        <v>44123</v>
      </c>
      <c r="C1170" s="6" t="inlineStr">
        <is>
          <t>A47</t>
        </is>
      </c>
      <c r="D1170" s="6" t="n">
        <v>7</v>
      </c>
      <c r="E1170" s="15" t="n">
        <v>97</v>
      </c>
      <c r="F1170" s="5" t="inlineStr">
        <is>
          <t>нет</t>
        </is>
      </c>
      <c r="G1170" s="7" t="n"/>
      <c r="H1170">
        <f>VLOOKUP(C1170,Автомобили!$A$2:$G$1000,3,0)</f>
        <v/>
      </c>
      <c r="I1170">
        <f>VLOOKUP(D1170,Клиенты!$A$2:$D$1000,2,0)</f>
        <v/>
      </c>
      <c r="J1170">
        <f>IF(AND(H1170="Kaptur",I1170="Окраинов Л.Г.",YEAR(B1170)=2020),E1170,0)</f>
        <v/>
      </c>
    </row>
    <row r="1171">
      <c r="A1171" s="6" t="n">
        <v>1170</v>
      </c>
      <c r="B1171" s="13" t="n">
        <v>44123</v>
      </c>
      <c r="C1171" s="6" t="inlineStr">
        <is>
          <t>A64</t>
        </is>
      </c>
      <c r="D1171" s="6" t="n">
        <v>5</v>
      </c>
      <c r="E1171" s="15" t="n">
        <v>331</v>
      </c>
      <c r="F1171" s="5" t="inlineStr">
        <is>
          <t>нет</t>
        </is>
      </c>
      <c r="G1171" s="7" t="n"/>
      <c r="H1171">
        <f>VLOOKUP(C1171,Автомобили!$A$2:$G$1000,3,0)</f>
        <v/>
      </c>
      <c r="I1171">
        <f>VLOOKUP(D1171,Клиенты!$A$2:$D$1000,2,0)</f>
        <v/>
      </c>
      <c r="J1171">
        <f>IF(AND(H1171="Kaptur",I1171="Окраинов Л.Г.",YEAR(B1171)=2020),E1171,0)</f>
        <v/>
      </c>
    </row>
    <row r="1172">
      <c r="A1172" s="6" t="n">
        <v>1171</v>
      </c>
      <c r="B1172" s="13" t="n">
        <v>44123</v>
      </c>
      <c r="C1172" s="6" t="inlineStr">
        <is>
          <t>A35</t>
        </is>
      </c>
      <c r="D1172" s="6" t="n">
        <v>1</v>
      </c>
      <c r="E1172" s="15" t="n">
        <v>391</v>
      </c>
      <c r="F1172" s="5" t="inlineStr">
        <is>
          <t>нет</t>
        </is>
      </c>
      <c r="H1172">
        <f>VLOOKUP(C1172,Автомобили!$A$2:$G$1000,3,0)</f>
        <v/>
      </c>
      <c r="I1172">
        <f>VLOOKUP(D1172,Клиенты!$A$2:$D$1000,2,0)</f>
        <v/>
      </c>
      <c r="J1172">
        <f>IF(AND(H1172="Kaptur",I1172="Окраинов Л.Г.",YEAR(B1172)=2020),E1172,0)</f>
        <v/>
      </c>
    </row>
    <row r="1173">
      <c r="A1173" s="6" t="n">
        <v>1172</v>
      </c>
      <c r="B1173" s="13" t="n">
        <v>44123</v>
      </c>
      <c r="C1173" s="6" t="inlineStr">
        <is>
          <t>A18</t>
        </is>
      </c>
      <c r="D1173" s="6" t="n">
        <v>4</v>
      </c>
      <c r="E1173" s="15" t="n">
        <v>324</v>
      </c>
      <c r="F1173" s="5" t="inlineStr">
        <is>
          <t>нет</t>
        </is>
      </c>
      <c r="H1173">
        <f>VLOOKUP(C1173,Автомобили!$A$2:$G$1000,3,0)</f>
        <v/>
      </c>
      <c r="I1173">
        <f>VLOOKUP(D1173,Клиенты!$A$2:$D$1000,2,0)</f>
        <v/>
      </c>
      <c r="J1173">
        <f>IF(AND(H1173="Kaptur",I1173="Окраинов Л.Г.",YEAR(B1173)=2020),E1173,0)</f>
        <v/>
      </c>
    </row>
    <row r="1174">
      <c r="A1174" s="6" t="n">
        <v>1173</v>
      </c>
      <c r="B1174" s="13" t="n">
        <v>44124</v>
      </c>
      <c r="C1174" s="6" t="inlineStr">
        <is>
          <t>A43</t>
        </is>
      </c>
      <c r="D1174" s="6" t="n">
        <v>10</v>
      </c>
      <c r="E1174" s="15" t="n">
        <v>70</v>
      </c>
      <c r="F1174" s="5" t="inlineStr">
        <is>
          <t>нет</t>
        </is>
      </c>
      <c r="H1174">
        <f>VLOOKUP(C1174,Автомобили!$A$2:$G$1000,3,0)</f>
        <v/>
      </c>
      <c r="I1174">
        <f>VLOOKUP(D1174,Клиенты!$A$2:$D$1000,2,0)</f>
        <v/>
      </c>
      <c r="J1174">
        <f>IF(AND(H1174="Kaptur",I1174="Окраинов Л.Г.",YEAR(B1174)=2020),E1174,0)</f>
        <v/>
      </c>
    </row>
    <row r="1175">
      <c r="A1175" s="6" t="n">
        <v>1174</v>
      </c>
      <c r="B1175" s="13" t="n">
        <v>44124</v>
      </c>
      <c r="C1175" s="6" t="inlineStr">
        <is>
          <t>A18</t>
        </is>
      </c>
      <c r="D1175" s="6" t="n">
        <v>6</v>
      </c>
      <c r="E1175" s="15" t="n">
        <v>240</v>
      </c>
      <c r="F1175" s="5" t="inlineStr">
        <is>
          <t>нет</t>
        </is>
      </c>
      <c r="H1175">
        <f>VLOOKUP(C1175,Автомобили!$A$2:$G$1000,3,0)</f>
        <v/>
      </c>
      <c r="I1175">
        <f>VLOOKUP(D1175,Клиенты!$A$2:$D$1000,2,0)</f>
        <v/>
      </c>
      <c r="J1175">
        <f>IF(AND(H1175="Kaptur",I1175="Окраинов Л.Г.",YEAR(B1175)=2020),E1175,0)</f>
        <v/>
      </c>
    </row>
    <row r="1176">
      <c r="A1176" s="6" t="n">
        <v>1175</v>
      </c>
      <c r="B1176" s="13" t="n">
        <v>44124</v>
      </c>
      <c r="C1176" s="6" t="inlineStr">
        <is>
          <t>A43</t>
        </is>
      </c>
      <c r="D1176" s="6" t="n">
        <v>15</v>
      </c>
      <c r="E1176" s="15" t="n">
        <v>253</v>
      </c>
      <c r="F1176" s="5" t="inlineStr">
        <is>
          <t>нет</t>
        </is>
      </c>
      <c r="H1176">
        <f>VLOOKUP(C1176,Автомобили!$A$2:$G$1000,3,0)</f>
        <v/>
      </c>
      <c r="I1176">
        <f>VLOOKUP(D1176,Клиенты!$A$2:$D$1000,2,0)</f>
        <v/>
      </c>
      <c r="J1176">
        <f>IF(AND(H1176="Kaptur",I1176="Окраинов Л.Г.",YEAR(B1176)=2020),E1176,0)</f>
        <v/>
      </c>
    </row>
    <row r="1177">
      <c r="A1177" s="6" t="n">
        <v>1176</v>
      </c>
      <c r="B1177" s="13" t="n">
        <v>44124</v>
      </c>
      <c r="C1177" s="6" t="inlineStr">
        <is>
          <t>A33</t>
        </is>
      </c>
      <c r="D1177" s="6" t="n">
        <v>3</v>
      </c>
      <c r="E1177" s="15" t="n">
        <v>219</v>
      </c>
      <c r="F1177" s="5" t="inlineStr">
        <is>
          <t>нет</t>
        </is>
      </c>
      <c r="H1177">
        <f>VLOOKUP(C1177,Автомобили!$A$2:$G$1000,3,0)</f>
        <v/>
      </c>
      <c r="I1177">
        <f>VLOOKUP(D1177,Клиенты!$A$2:$D$1000,2,0)</f>
        <v/>
      </c>
      <c r="J1177">
        <f>IF(AND(H1177="Kaptur",I1177="Окраинов Л.Г.",YEAR(B1177)=2020),E1177,0)</f>
        <v/>
      </c>
    </row>
    <row r="1178">
      <c r="A1178" s="6" t="n">
        <v>1177</v>
      </c>
      <c r="B1178" s="13" t="n">
        <v>44125</v>
      </c>
      <c r="C1178" s="6" t="inlineStr">
        <is>
          <t>A58</t>
        </is>
      </c>
      <c r="D1178" s="6" t="n">
        <v>3</v>
      </c>
      <c r="E1178" s="15" t="n">
        <v>331</v>
      </c>
      <c r="F1178" s="5" t="inlineStr">
        <is>
          <t>нет</t>
        </is>
      </c>
      <c r="H1178">
        <f>VLOOKUP(C1178,Автомобили!$A$2:$G$1000,3,0)</f>
        <v/>
      </c>
      <c r="I1178">
        <f>VLOOKUP(D1178,Клиенты!$A$2:$D$1000,2,0)</f>
        <v/>
      </c>
      <c r="J1178">
        <f>IF(AND(H1178="Kaptur",I1178="Окраинов Л.Г.",YEAR(B1178)=2020),E1178,0)</f>
        <v/>
      </c>
    </row>
    <row r="1179">
      <c r="A1179" s="6" t="n">
        <v>1178</v>
      </c>
      <c r="B1179" s="13" t="n">
        <v>44125</v>
      </c>
      <c r="C1179" s="6" t="inlineStr">
        <is>
          <t>A63</t>
        </is>
      </c>
      <c r="D1179" s="6" t="n">
        <v>1</v>
      </c>
      <c r="E1179" s="15" t="n">
        <v>99</v>
      </c>
      <c r="F1179" s="5" t="inlineStr">
        <is>
          <t>нет</t>
        </is>
      </c>
      <c r="H1179">
        <f>VLOOKUP(C1179,Автомобили!$A$2:$G$1000,3,0)</f>
        <v/>
      </c>
      <c r="I1179">
        <f>VLOOKUP(D1179,Клиенты!$A$2:$D$1000,2,0)</f>
        <v/>
      </c>
      <c r="J1179">
        <f>IF(AND(H1179="Kaptur",I1179="Окраинов Л.Г.",YEAR(B1179)=2020),E1179,0)</f>
        <v/>
      </c>
    </row>
    <row r="1180">
      <c r="A1180" s="6" t="n">
        <v>1179</v>
      </c>
      <c r="B1180" s="13" t="n">
        <v>44125</v>
      </c>
      <c r="C1180" s="6" t="inlineStr">
        <is>
          <t>A65</t>
        </is>
      </c>
      <c r="D1180" s="6" t="n">
        <v>14</v>
      </c>
      <c r="E1180" s="15" t="n">
        <v>397</v>
      </c>
      <c r="F1180" s="5" t="inlineStr">
        <is>
          <t>нет</t>
        </is>
      </c>
      <c r="H1180">
        <f>VLOOKUP(C1180,Автомобили!$A$2:$G$1000,3,0)</f>
        <v/>
      </c>
      <c r="I1180">
        <f>VLOOKUP(D1180,Клиенты!$A$2:$D$1000,2,0)</f>
        <v/>
      </c>
      <c r="J1180">
        <f>IF(AND(H1180="Kaptur",I1180="Окраинов Л.Г.",YEAR(B1180)=2020),E1180,0)</f>
        <v/>
      </c>
    </row>
    <row r="1181">
      <c r="A1181" s="6" t="n">
        <v>1180</v>
      </c>
      <c r="B1181" s="13" t="n">
        <v>44125</v>
      </c>
      <c r="C1181" s="6" t="inlineStr">
        <is>
          <t>A42</t>
        </is>
      </c>
      <c r="D1181" s="6" t="n">
        <v>6</v>
      </c>
      <c r="E1181" s="15" t="n">
        <v>91</v>
      </c>
      <c r="F1181" s="5" t="inlineStr">
        <is>
          <t>нет</t>
        </is>
      </c>
      <c r="H1181">
        <f>VLOOKUP(C1181,Автомобили!$A$2:$G$1000,3,0)</f>
        <v/>
      </c>
      <c r="I1181">
        <f>VLOOKUP(D1181,Клиенты!$A$2:$D$1000,2,0)</f>
        <v/>
      </c>
      <c r="J1181">
        <f>IF(AND(H1181="Kaptur",I1181="Окраинов Л.Г.",YEAR(B1181)=2020),E1181,0)</f>
        <v/>
      </c>
    </row>
    <row r="1182">
      <c r="A1182" s="6" t="n">
        <v>1181</v>
      </c>
      <c r="B1182" s="13" t="n">
        <v>44126</v>
      </c>
      <c r="C1182" s="6" t="inlineStr">
        <is>
          <t>A49</t>
        </is>
      </c>
      <c r="D1182" s="6" t="n">
        <v>5</v>
      </c>
      <c r="E1182" s="15" t="n">
        <v>256</v>
      </c>
      <c r="F1182" s="5" t="inlineStr">
        <is>
          <t>нет</t>
        </is>
      </c>
      <c r="H1182">
        <f>VLOOKUP(C1182,Автомобили!$A$2:$G$1000,3,0)</f>
        <v/>
      </c>
      <c r="I1182">
        <f>VLOOKUP(D1182,Клиенты!$A$2:$D$1000,2,0)</f>
        <v/>
      </c>
      <c r="J1182">
        <f>IF(AND(H1182="Kaptur",I1182="Окраинов Л.Г.",YEAR(B1182)=2020),E1182,0)</f>
        <v/>
      </c>
    </row>
    <row r="1183">
      <c r="A1183" s="6" t="n">
        <v>1182</v>
      </c>
      <c r="B1183" s="13" t="n">
        <v>44126</v>
      </c>
      <c r="C1183" s="6" t="inlineStr">
        <is>
          <t>A28</t>
        </is>
      </c>
      <c r="D1183" s="6" t="n">
        <v>10</v>
      </c>
      <c r="E1183" s="15" t="n">
        <v>403</v>
      </c>
      <c r="F1183" s="5" t="inlineStr">
        <is>
          <t>нет</t>
        </is>
      </c>
      <c r="H1183">
        <f>VLOOKUP(C1183,Автомобили!$A$2:$G$1000,3,0)</f>
        <v/>
      </c>
      <c r="I1183">
        <f>VLOOKUP(D1183,Клиенты!$A$2:$D$1000,2,0)</f>
        <v/>
      </c>
      <c r="J1183">
        <f>IF(AND(H1183="Kaptur",I1183="Окраинов Л.Г.",YEAR(B1183)=2020),E1183,0)</f>
        <v/>
      </c>
    </row>
    <row r="1184">
      <c r="A1184" s="6" t="n">
        <v>1183</v>
      </c>
      <c r="B1184" s="13" t="n">
        <v>44126</v>
      </c>
      <c r="C1184" s="6" t="inlineStr">
        <is>
          <t>A29</t>
        </is>
      </c>
      <c r="D1184" s="6" t="n">
        <v>5</v>
      </c>
      <c r="E1184" s="15" t="n">
        <v>136</v>
      </c>
      <c r="F1184" s="5" t="inlineStr">
        <is>
          <t>нет</t>
        </is>
      </c>
      <c r="H1184">
        <f>VLOOKUP(C1184,Автомобили!$A$2:$G$1000,3,0)</f>
        <v/>
      </c>
      <c r="I1184">
        <f>VLOOKUP(D1184,Клиенты!$A$2:$D$1000,2,0)</f>
        <v/>
      </c>
      <c r="J1184">
        <f>IF(AND(H1184="Kaptur",I1184="Окраинов Л.Г.",YEAR(B1184)=2020),E1184,0)</f>
        <v/>
      </c>
    </row>
    <row r="1185">
      <c r="A1185" s="6" t="n">
        <v>1184</v>
      </c>
      <c r="B1185" s="13" t="n">
        <v>44126</v>
      </c>
      <c r="C1185" s="6" t="inlineStr">
        <is>
          <t>A21</t>
        </is>
      </c>
      <c r="D1185" s="6" t="n">
        <v>9</v>
      </c>
      <c r="E1185" s="15" t="n">
        <v>365</v>
      </c>
      <c r="F1185" s="5" t="inlineStr">
        <is>
          <t>к компании</t>
        </is>
      </c>
      <c r="H1185">
        <f>VLOOKUP(C1185,Автомобили!$A$2:$G$1000,3,0)</f>
        <v/>
      </c>
      <c r="I1185">
        <f>VLOOKUP(D1185,Клиенты!$A$2:$D$1000,2,0)</f>
        <v/>
      </c>
      <c r="J1185">
        <f>IF(AND(H1185="Kaptur",I1185="Окраинов Л.Г.",YEAR(B1185)=2020),E1185,0)</f>
        <v/>
      </c>
    </row>
    <row r="1186">
      <c r="A1186" s="6" t="n">
        <v>1185</v>
      </c>
      <c r="B1186" s="13" t="n">
        <v>44127</v>
      </c>
      <c r="C1186" s="6" t="inlineStr">
        <is>
          <t>A63</t>
        </is>
      </c>
      <c r="D1186" s="6" t="n">
        <v>3</v>
      </c>
      <c r="E1186" s="15" t="n">
        <v>309</v>
      </c>
      <c r="F1186" s="5" t="inlineStr">
        <is>
          <t>нет</t>
        </is>
      </c>
      <c r="H1186">
        <f>VLOOKUP(C1186,Автомобили!$A$2:$G$1000,3,0)</f>
        <v/>
      </c>
      <c r="I1186">
        <f>VLOOKUP(D1186,Клиенты!$A$2:$D$1000,2,0)</f>
        <v/>
      </c>
      <c r="J1186">
        <f>IF(AND(H1186="Kaptur",I1186="Окраинов Л.Г.",YEAR(B1186)=2020),E1186,0)</f>
        <v/>
      </c>
    </row>
    <row r="1187">
      <c r="A1187" s="6" t="n">
        <v>1186</v>
      </c>
      <c r="B1187" s="13" t="n">
        <v>44127</v>
      </c>
      <c r="C1187" s="6" t="inlineStr">
        <is>
          <t>A15</t>
        </is>
      </c>
      <c r="D1187" s="6" t="n">
        <v>13</v>
      </c>
      <c r="E1187" s="15" t="n">
        <v>203</v>
      </c>
      <c r="F1187" s="5" t="inlineStr">
        <is>
          <t>нет</t>
        </is>
      </c>
      <c r="H1187">
        <f>VLOOKUP(C1187,Автомобили!$A$2:$G$1000,3,0)</f>
        <v/>
      </c>
      <c r="I1187">
        <f>VLOOKUP(D1187,Клиенты!$A$2:$D$1000,2,0)</f>
        <v/>
      </c>
      <c r="J1187">
        <f>IF(AND(H1187="Kaptur",I1187="Окраинов Л.Г.",YEAR(B1187)=2020),E1187,0)</f>
        <v/>
      </c>
    </row>
    <row r="1188">
      <c r="A1188" s="6" t="n">
        <v>1187</v>
      </c>
      <c r="B1188" s="13" t="n">
        <v>44127</v>
      </c>
      <c r="C1188" s="6" t="inlineStr">
        <is>
          <t>A36</t>
        </is>
      </c>
      <c r="D1188" s="6" t="n">
        <v>15</v>
      </c>
      <c r="E1188" s="15" t="n">
        <v>327</v>
      </c>
      <c r="F1188" s="5" t="inlineStr">
        <is>
          <t>нет</t>
        </is>
      </c>
      <c r="H1188">
        <f>VLOOKUP(C1188,Автомобили!$A$2:$G$1000,3,0)</f>
        <v/>
      </c>
      <c r="I1188">
        <f>VLOOKUP(D1188,Клиенты!$A$2:$D$1000,2,0)</f>
        <v/>
      </c>
      <c r="J1188">
        <f>IF(AND(H1188="Kaptur",I1188="Окраинов Л.Г.",YEAR(B1188)=2020),E1188,0)</f>
        <v/>
      </c>
    </row>
    <row r="1189">
      <c r="A1189" s="6" t="n">
        <v>1188</v>
      </c>
      <c r="B1189" s="13" t="n">
        <v>44127</v>
      </c>
      <c r="C1189" s="6" t="inlineStr">
        <is>
          <t>A46</t>
        </is>
      </c>
      <c r="D1189" s="6" t="n">
        <v>8</v>
      </c>
      <c r="E1189" s="15" t="n">
        <v>361</v>
      </c>
      <c r="F1189" s="5" t="inlineStr">
        <is>
          <t>нет</t>
        </is>
      </c>
      <c r="H1189">
        <f>VLOOKUP(C1189,Автомобили!$A$2:$G$1000,3,0)</f>
        <v/>
      </c>
      <c r="I1189">
        <f>VLOOKUP(D1189,Клиенты!$A$2:$D$1000,2,0)</f>
        <v/>
      </c>
      <c r="J1189">
        <f>IF(AND(H1189="Kaptur",I1189="Окраинов Л.Г.",YEAR(B1189)=2020),E1189,0)</f>
        <v/>
      </c>
    </row>
    <row r="1190">
      <c r="A1190" s="6" t="n">
        <v>1189</v>
      </c>
      <c r="B1190" s="13" t="n">
        <v>44128</v>
      </c>
      <c r="C1190" s="6" t="inlineStr">
        <is>
          <t>A46</t>
        </is>
      </c>
      <c r="D1190" s="6" t="n">
        <v>11</v>
      </c>
      <c r="E1190" s="15" t="n">
        <v>295</v>
      </c>
      <c r="F1190" s="5" t="inlineStr">
        <is>
          <t>нет</t>
        </is>
      </c>
      <c r="H1190">
        <f>VLOOKUP(C1190,Автомобили!$A$2:$G$1000,3,0)</f>
        <v/>
      </c>
      <c r="I1190">
        <f>VLOOKUP(D1190,Клиенты!$A$2:$D$1000,2,0)</f>
        <v/>
      </c>
      <c r="J1190">
        <f>IF(AND(H1190="Kaptur",I1190="Окраинов Л.Г.",YEAR(B1190)=2020),E1190,0)</f>
        <v/>
      </c>
    </row>
    <row r="1191">
      <c r="A1191" s="6" t="n">
        <v>1190</v>
      </c>
      <c r="B1191" s="13" t="n">
        <v>44128</v>
      </c>
      <c r="C1191" s="6" t="inlineStr">
        <is>
          <t>A56</t>
        </is>
      </c>
      <c r="D1191" s="6" t="n">
        <v>1</v>
      </c>
      <c r="E1191" s="15" t="n">
        <v>264</v>
      </c>
      <c r="F1191" s="5" t="inlineStr">
        <is>
          <t>нет</t>
        </is>
      </c>
      <c r="H1191">
        <f>VLOOKUP(C1191,Автомобили!$A$2:$G$1000,3,0)</f>
        <v/>
      </c>
      <c r="I1191">
        <f>VLOOKUP(D1191,Клиенты!$A$2:$D$1000,2,0)</f>
        <v/>
      </c>
      <c r="J1191">
        <f>IF(AND(H1191="Kaptur",I1191="Окраинов Л.Г.",YEAR(B1191)=2020),E1191,0)</f>
        <v/>
      </c>
    </row>
    <row r="1192">
      <c r="A1192" s="6" t="n">
        <v>1191</v>
      </c>
      <c r="B1192" s="13" t="n">
        <v>44128</v>
      </c>
      <c r="C1192" s="6" t="inlineStr">
        <is>
          <t>A36</t>
        </is>
      </c>
      <c r="D1192" s="6" t="n">
        <v>3</v>
      </c>
      <c r="E1192" s="15" t="n">
        <v>410</v>
      </c>
      <c r="F1192" s="5" t="inlineStr">
        <is>
          <t>нет</t>
        </is>
      </c>
      <c r="H1192">
        <f>VLOOKUP(C1192,Автомобили!$A$2:$G$1000,3,0)</f>
        <v/>
      </c>
      <c r="I1192">
        <f>VLOOKUP(D1192,Клиенты!$A$2:$D$1000,2,0)</f>
        <v/>
      </c>
      <c r="J1192">
        <f>IF(AND(H1192="Kaptur",I1192="Окраинов Л.Г.",YEAR(B1192)=2020),E1192,0)</f>
        <v/>
      </c>
    </row>
    <row r="1193">
      <c r="A1193" s="6" t="n">
        <v>1192</v>
      </c>
      <c r="B1193" s="13" t="n">
        <v>44128</v>
      </c>
      <c r="C1193" s="6" t="inlineStr">
        <is>
          <t>A10</t>
        </is>
      </c>
      <c r="D1193" s="6" t="n">
        <v>4</v>
      </c>
      <c r="E1193" s="15" t="n">
        <v>305</v>
      </c>
      <c r="F1193" s="5" t="inlineStr">
        <is>
          <t>нет</t>
        </is>
      </c>
      <c r="H1193">
        <f>VLOOKUP(C1193,Автомобили!$A$2:$G$1000,3,0)</f>
        <v/>
      </c>
      <c r="I1193">
        <f>VLOOKUP(D1193,Клиенты!$A$2:$D$1000,2,0)</f>
        <v/>
      </c>
      <c r="J1193">
        <f>IF(AND(H1193="Kaptur",I1193="Окраинов Л.Г.",YEAR(B1193)=2020),E1193,0)</f>
        <v/>
      </c>
    </row>
    <row r="1194">
      <c r="A1194" s="6" t="n">
        <v>1193</v>
      </c>
      <c r="B1194" s="13" t="n">
        <v>44129</v>
      </c>
      <c r="C1194" s="6" t="inlineStr">
        <is>
          <t>A3</t>
        </is>
      </c>
      <c r="D1194" s="6" t="n">
        <v>12</v>
      </c>
      <c r="E1194" s="15" t="n">
        <v>254</v>
      </c>
      <c r="F1194" s="5" t="inlineStr">
        <is>
          <t>нет</t>
        </is>
      </c>
      <c r="H1194">
        <f>VLOOKUP(C1194,Автомобили!$A$2:$G$1000,3,0)</f>
        <v/>
      </c>
      <c r="I1194">
        <f>VLOOKUP(D1194,Клиенты!$A$2:$D$1000,2,0)</f>
        <v/>
      </c>
      <c r="J1194">
        <f>IF(AND(H1194="Kaptur",I1194="Окраинов Л.Г.",YEAR(B1194)=2020),E1194,0)</f>
        <v/>
      </c>
    </row>
    <row r="1195">
      <c r="A1195" s="6" t="n">
        <v>1194</v>
      </c>
      <c r="B1195" s="13" t="n">
        <v>44129</v>
      </c>
      <c r="C1195" s="6" t="inlineStr">
        <is>
          <t>A55</t>
        </is>
      </c>
      <c r="D1195" s="6" t="n">
        <v>1</v>
      </c>
      <c r="E1195" s="15" t="n">
        <v>174</v>
      </c>
      <c r="F1195" s="5" t="inlineStr">
        <is>
          <t>нет</t>
        </is>
      </c>
      <c r="H1195">
        <f>VLOOKUP(C1195,Автомобили!$A$2:$G$1000,3,0)</f>
        <v/>
      </c>
      <c r="I1195">
        <f>VLOOKUP(D1195,Клиенты!$A$2:$D$1000,2,0)</f>
        <v/>
      </c>
      <c r="J1195">
        <f>IF(AND(H1195="Kaptur",I1195="Окраинов Л.Г.",YEAR(B1195)=2020),E1195,0)</f>
        <v/>
      </c>
    </row>
    <row r="1196">
      <c r="A1196" s="6" t="n">
        <v>1195</v>
      </c>
      <c r="B1196" s="13" t="n">
        <v>44129</v>
      </c>
      <c r="C1196" s="6" t="inlineStr">
        <is>
          <t>A58</t>
        </is>
      </c>
      <c r="D1196" s="6" t="n">
        <v>3</v>
      </c>
      <c r="E1196" s="15" t="n">
        <v>139</v>
      </c>
      <c r="F1196" s="5" t="inlineStr">
        <is>
          <t>нет</t>
        </is>
      </c>
      <c r="H1196">
        <f>VLOOKUP(C1196,Автомобили!$A$2:$G$1000,3,0)</f>
        <v/>
      </c>
      <c r="I1196">
        <f>VLOOKUP(D1196,Клиенты!$A$2:$D$1000,2,0)</f>
        <v/>
      </c>
      <c r="J1196">
        <f>IF(AND(H1196="Kaptur",I1196="Окраинов Л.Г.",YEAR(B1196)=2020),E1196,0)</f>
        <v/>
      </c>
    </row>
    <row r="1197">
      <c r="A1197" s="6" t="n">
        <v>1196</v>
      </c>
      <c r="B1197" s="13" t="n">
        <v>44129</v>
      </c>
      <c r="C1197" s="6" t="inlineStr">
        <is>
          <t>A54</t>
        </is>
      </c>
      <c r="D1197" s="6" t="n">
        <v>2</v>
      </c>
      <c r="E1197" s="15" t="n">
        <v>323</v>
      </c>
      <c r="F1197" s="5" t="inlineStr">
        <is>
          <t>нет</t>
        </is>
      </c>
      <c r="H1197">
        <f>VLOOKUP(C1197,Автомобили!$A$2:$G$1000,3,0)</f>
        <v/>
      </c>
      <c r="I1197">
        <f>VLOOKUP(D1197,Клиенты!$A$2:$D$1000,2,0)</f>
        <v/>
      </c>
      <c r="J1197">
        <f>IF(AND(H1197="Kaptur",I1197="Окраинов Л.Г.",YEAR(B1197)=2020),E1197,0)</f>
        <v/>
      </c>
    </row>
    <row r="1198">
      <c r="A1198" s="6" t="n">
        <v>1197</v>
      </c>
      <c r="B1198" s="13" t="n">
        <v>44130</v>
      </c>
      <c r="C1198" s="6" t="inlineStr">
        <is>
          <t>A65</t>
        </is>
      </c>
      <c r="D1198" s="6" t="n">
        <v>15</v>
      </c>
      <c r="E1198" s="15" t="n">
        <v>255</v>
      </c>
      <c r="F1198" s="5" t="inlineStr">
        <is>
          <t>нет</t>
        </is>
      </c>
      <c r="H1198">
        <f>VLOOKUP(C1198,Автомобили!$A$2:$G$1000,3,0)</f>
        <v/>
      </c>
      <c r="I1198">
        <f>VLOOKUP(D1198,Клиенты!$A$2:$D$1000,2,0)</f>
        <v/>
      </c>
      <c r="J1198">
        <f>IF(AND(H1198="Kaptur",I1198="Окраинов Л.Г.",YEAR(B1198)=2020),E1198,0)</f>
        <v/>
      </c>
    </row>
    <row r="1199">
      <c r="A1199" s="6" t="n">
        <v>1198</v>
      </c>
      <c r="B1199" s="13" t="n">
        <v>44130</v>
      </c>
      <c r="C1199" s="6" t="inlineStr">
        <is>
          <t>A20</t>
        </is>
      </c>
      <c r="D1199" s="6" t="n">
        <v>11</v>
      </c>
      <c r="E1199" s="15" t="n">
        <v>208</v>
      </c>
      <c r="F1199" s="5" t="inlineStr">
        <is>
          <t>нет</t>
        </is>
      </c>
      <c r="H1199">
        <f>VLOOKUP(C1199,Автомобили!$A$2:$G$1000,3,0)</f>
        <v/>
      </c>
      <c r="I1199">
        <f>VLOOKUP(D1199,Клиенты!$A$2:$D$1000,2,0)</f>
        <v/>
      </c>
      <c r="J1199">
        <f>IF(AND(H1199="Kaptur",I1199="Окраинов Л.Г.",YEAR(B1199)=2020),E1199,0)</f>
        <v/>
      </c>
    </row>
    <row r="1200">
      <c r="A1200" s="6" t="n">
        <v>1199</v>
      </c>
      <c r="B1200" s="13" t="n">
        <v>44130</v>
      </c>
      <c r="C1200" s="6" t="inlineStr">
        <is>
          <t>A8</t>
        </is>
      </c>
      <c r="D1200" s="6" t="n">
        <v>7</v>
      </c>
      <c r="E1200" s="15" t="n">
        <v>266</v>
      </c>
      <c r="F1200" s="5" t="inlineStr">
        <is>
          <t>нет</t>
        </is>
      </c>
      <c r="H1200">
        <f>VLOOKUP(C1200,Автомобили!$A$2:$G$1000,3,0)</f>
        <v/>
      </c>
      <c r="I1200">
        <f>VLOOKUP(D1200,Клиенты!$A$2:$D$1000,2,0)</f>
        <v/>
      </c>
      <c r="J1200">
        <f>IF(AND(H1200="Kaptur",I1200="Окраинов Л.Г.",YEAR(B1200)=2020),E1200,0)</f>
        <v/>
      </c>
    </row>
    <row r="1201">
      <c r="A1201" s="6" t="n">
        <v>1200</v>
      </c>
      <c r="B1201" s="13" t="n">
        <v>44130</v>
      </c>
      <c r="C1201" s="6" t="inlineStr">
        <is>
          <t>A61</t>
        </is>
      </c>
      <c r="D1201" s="6" t="n">
        <v>14</v>
      </c>
      <c r="E1201" s="15" t="n">
        <v>188</v>
      </c>
      <c r="F1201" s="5" t="inlineStr">
        <is>
          <t>нет</t>
        </is>
      </c>
      <c r="H1201">
        <f>VLOOKUP(C1201,Автомобили!$A$2:$G$1000,3,0)</f>
        <v/>
      </c>
      <c r="I1201">
        <f>VLOOKUP(D1201,Клиенты!$A$2:$D$1000,2,0)</f>
        <v/>
      </c>
      <c r="J1201">
        <f>IF(AND(H1201="Kaptur",I1201="Окраинов Л.Г.",YEAR(B1201)=2020),E1201,0)</f>
        <v/>
      </c>
    </row>
    <row r="1202">
      <c r="A1202" s="6" t="n">
        <v>1201</v>
      </c>
      <c r="B1202" s="13" t="n">
        <v>44131</v>
      </c>
      <c r="C1202" s="6" t="inlineStr">
        <is>
          <t>A8</t>
        </is>
      </c>
      <c r="D1202" s="6" t="n">
        <v>12</v>
      </c>
      <c r="E1202" s="15" t="n">
        <v>422</v>
      </c>
      <c r="F1202" s="5" t="inlineStr">
        <is>
          <t>нет</t>
        </is>
      </c>
      <c r="H1202">
        <f>VLOOKUP(C1202,Автомобили!$A$2:$G$1000,3,0)</f>
        <v/>
      </c>
      <c r="I1202">
        <f>VLOOKUP(D1202,Клиенты!$A$2:$D$1000,2,0)</f>
        <v/>
      </c>
      <c r="J1202">
        <f>IF(AND(H1202="Kaptur",I1202="Окраинов Л.Г.",YEAR(B1202)=2020),E1202,0)</f>
        <v/>
      </c>
    </row>
    <row r="1203">
      <c r="A1203" s="6" t="n">
        <v>1202</v>
      </c>
      <c r="B1203" s="13" t="n">
        <v>44131</v>
      </c>
      <c r="C1203" s="6" t="inlineStr">
        <is>
          <t>A54</t>
        </is>
      </c>
      <c r="D1203" s="6" t="n">
        <v>10</v>
      </c>
      <c r="E1203" s="15" t="n">
        <v>251</v>
      </c>
      <c r="F1203" s="5" t="inlineStr">
        <is>
          <t>нет</t>
        </is>
      </c>
      <c r="H1203">
        <f>VLOOKUP(C1203,Автомобили!$A$2:$G$1000,3,0)</f>
        <v/>
      </c>
      <c r="I1203">
        <f>VLOOKUP(D1203,Клиенты!$A$2:$D$1000,2,0)</f>
        <v/>
      </c>
      <c r="J1203">
        <f>IF(AND(H1203="Kaptur",I1203="Окраинов Л.Г.",YEAR(B1203)=2020),E1203,0)</f>
        <v/>
      </c>
    </row>
    <row r="1204">
      <c r="A1204" s="6" t="n">
        <v>1203</v>
      </c>
      <c r="B1204" s="13" t="n">
        <v>44131</v>
      </c>
      <c r="C1204" s="6" t="inlineStr">
        <is>
          <t>A42</t>
        </is>
      </c>
      <c r="D1204" s="6" t="n">
        <v>13</v>
      </c>
      <c r="E1204" s="15" t="n">
        <v>113</v>
      </c>
      <c r="F1204" s="5" t="inlineStr">
        <is>
          <t>нет</t>
        </is>
      </c>
      <c r="H1204">
        <f>VLOOKUP(C1204,Автомобили!$A$2:$G$1000,3,0)</f>
        <v/>
      </c>
      <c r="I1204">
        <f>VLOOKUP(D1204,Клиенты!$A$2:$D$1000,2,0)</f>
        <v/>
      </c>
      <c r="J1204">
        <f>IF(AND(H1204="Kaptur",I1204="Окраинов Л.Г.",YEAR(B1204)=2020),E1204,0)</f>
        <v/>
      </c>
    </row>
    <row r="1205">
      <c r="A1205" s="6" t="n">
        <v>1204</v>
      </c>
      <c r="B1205" s="13" t="n">
        <v>44131</v>
      </c>
      <c r="C1205" s="6" t="inlineStr">
        <is>
          <t>A17</t>
        </is>
      </c>
      <c r="D1205" s="6" t="n">
        <v>2</v>
      </c>
      <c r="E1205" s="15" t="n">
        <v>144</v>
      </c>
      <c r="F1205" s="5" t="inlineStr">
        <is>
          <t>нет</t>
        </is>
      </c>
      <c r="H1205">
        <f>VLOOKUP(C1205,Автомобили!$A$2:$G$1000,3,0)</f>
        <v/>
      </c>
      <c r="I1205">
        <f>VLOOKUP(D1205,Клиенты!$A$2:$D$1000,2,0)</f>
        <v/>
      </c>
      <c r="J1205">
        <f>IF(AND(H1205="Kaptur",I1205="Окраинов Л.Г.",YEAR(B1205)=2020),E1205,0)</f>
        <v/>
      </c>
    </row>
    <row r="1206">
      <c r="A1206" s="6" t="n">
        <v>1205</v>
      </c>
      <c r="B1206" s="13" t="n">
        <v>44132</v>
      </c>
      <c r="C1206" s="6" t="inlineStr">
        <is>
          <t>A16</t>
        </is>
      </c>
      <c r="D1206" s="6" t="n">
        <v>7</v>
      </c>
      <c r="E1206" s="15" t="n">
        <v>304</v>
      </c>
      <c r="F1206" s="5" t="inlineStr">
        <is>
          <t>нет</t>
        </is>
      </c>
      <c r="H1206">
        <f>VLOOKUP(C1206,Автомобили!$A$2:$G$1000,3,0)</f>
        <v/>
      </c>
      <c r="I1206">
        <f>VLOOKUP(D1206,Клиенты!$A$2:$D$1000,2,0)</f>
        <v/>
      </c>
      <c r="J1206">
        <f>IF(AND(H1206="Kaptur",I1206="Окраинов Л.Г.",YEAR(B1206)=2020),E1206,0)</f>
        <v/>
      </c>
    </row>
    <row r="1207">
      <c r="A1207" s="6" t="n">
        <v>1206</v>
      </c>
      <c r="B1207" s="13" t="n">
        <v>44132</v>
      </c>
      <c r="C1207" s="6" t="inlineStr">
        <is>
          <t>A56</t>
        </is>
      </c>
      <c r="D1207" s="6" t="n">
        <v>15</v>
      </c>
      <c r="E1207" s="15" t="n">
        <v>325</v>
      </c>
      <c r="F1207" s="5" t="inlineStr">
        <is>
          <t>нет</t>
        </is>
      </c>
      <c r="H1207">
        <f>VLOOKUP(C1207,Автомобили!$A$2:$G$1000,3,0)</f>
        <v/>
      </c>
      <c r="I1207">
        <f>VLOOKUP(D1207,Клиенты!$A$2:$D$1000,2,0)</f>
        <v/>
      </c>
      <c r="J1207">
        <f>IF(AND(H1207="Kaptur",I1207="Окраинов Л.Г.",YEAR(B1207)=2020),E1207,0)</f>
        <v/>
      </c>
    </row>
    <row r="1208">
      <c r="A1208" s="6" t="n">
        <v>1207</v>
      </c>
      <c r="B1208" s="13" t="n">
        <v>44132</v>
      </c>
      <c r="C1208" s="6" t="inlineStr">
        <is>
          <t>A46</t>
        </is>
      </c>
      <c r="D1208" s="6" t="n">
        <v>1</v>
      </c>
      <c r="E1208" s="15" t="n">
        <v>289</v>
      </c>
      <c r="F1208" s="5" t="inlineStr">
        <is>
          <t>нет</t>
        </is>
      </c>
      <c r="H1208">
        <f>VLOOKUP(C1208,Автомобили!$A$2:$G$1000,3,0)</f>
        <v/>
      </c>
      <c r="I1208">
        <f>VLOOKUP(D1208,Клиенты!$A$2:$D$1000,2,0)</f>
        <v/>
      </c>
      <c r="J1208">
        <f>IF(AND(H1208="Kaptur",I1208="Окраинов Л.Г.",YEAR(B1208)=2020),E1208,0)</f>
        <v/>
      </c>
    </row>
    <row r="1209">
      <c r="A1209" s="6" t="n">
        <v>1208</v>
      </c>
      <c r="B1209" s="13" t="n">
        <v>44132</v>
      </c>
      <c r="C1209" s="6" t="inlineStr">
        <is>
          <t>A43</t>
        </is>
      </c>
      <c r="D1209" s="6" t="n">
        <v>5</v>
      </c>
      <c r="E1209" s="15" t="n">
        <v>294</v>
      </c>
      <c r="F1209" s="5" t="inlineStr">
        <is>
          <t>нет</t>
        </is>
      </c>
      <c r="H1209">
        <f>VLOOKUP(C1209,Автомобили!$A$2:$G$1000,3,0)</f>
        <v/>
      </c>
      <c r="I1209">
        <f>VLOOKUP(D1209,Клиенты!$A$2:$D$1000,2,0)</f>
        <v/>
      </c>
      <c r="J1209">
        <f>IF(AND(H1209="Kaptur",I1209="Окраинов Л.Г.",YEAR(B1209)=2020),E1209,0)</f>
        <v/>
      </c>
    </row>
    <row r="1210">
      <c r="A1210" s="6" t="n">
        <v>1209</v>
      </c>
      <c r="B1210" s="13" t="n">
        <v>44133</v>
      </c>
      <c r="C1210" s="6" t="inlineStr">
        <is>
          <t>A40</t>
        </is>
      </c>
      <c r="D1210" s="6" t="n">
        <v>15</v>
      </c>
      <c r="E1210" s="15" t="n">
        <v>359</v>
      </c>
      <c r="F1210" s="5" t="inlineStr">
        <is>
          <t>нет</t>
        </is>
      </c>
      <c r="H1210">
        <f>VLOOKUP(C1210,Автомобили!$A$2:$G$1000,3,0)</f>
        <v/>
      </c>
      <c r="I1210">
        <f>VLOOKUP(D1210,Клиенты!$A$2:$D$1000,2,0)</f>
        <v/>
      </c>
      <c r="J1210">
        <f>IF(AND(H1210="Kaptur",I1210="Окраинов Л.Г.",YEAR(B1210)=2020),E1210,0)</f>
        <v/>
      </c>
    </row>
    <row r="1211">
      <c r="A1211" s="6" t="n">
        <v>1210</v>
      </c>
      <c r="B1211" s="13" t="n">
        <v>44133</v>
      </c>
      <c r="C1211" s="6" t="inlineStr">
        <is>
          <t>A57</t>
        </is>
      </c>
      <c r="D1211" s="6" t="n">
        <v>3</v>
      </c>
      <c r="E1211" s="15" t="n">
        <v>229</v>
      </c>
      <c r="F1211" s="5" t="inlineStr">
        <is>
          <t>нет</t>
        </is>
      </c>
      <c r="H1211">
        <f>VLOOKUP(C1211,Автомобили!$A$2:$G$1000,3,0)</f>
        <v/>
      </c>
      <c r="I1211">
        <f>VLOOKUP(D1211,Клиенты!$A$2:$D$1000,2,0)</f>
        <v/>
      </c>
      <c r="J1211">
        <f>IF(AND(H1211="Kaptur",I1211="Окраинов Л.Г.",YEAR(B1211)=2020),E1211,0)</f>
        <v/>
      </c>
    </row>
    <row r="1212">
      <c r="A1212" s="6" t="n">
        <v>1211</v>
      </c>
      <c r="B1212" s="13" t="n">
        <v>44133</v>
      </c>
      <c r="C1212" s="6" t="inlineStr">
        <is>
          <t>A26</t>
        </is>
      </c>
      <c r="D1212" s="6" t="n">
        <v>14</v>
      </c>
      <c r="E1212" s="15" t="n">
        <v>312</v>
      </c>
      <c r="F1212" s="5" t="inlineStr">
        <is>
          <t>нет</t>
        </is>
      </c>
      <c r="H1212">
        <f>VLOOKUP(C1212,Автомобили!$A$2:$G$1000,3,0)</f>
        <v/>
      </c>
      <c r="I1212">
        <f>VLOOKUP(D1212,Клиенты!$A$2:$D$1000,2,0)</f>
        <v/>
      </c>
      <c r="J1212">
        <f>IF(AND(H1212="Kaptur",I1212="Окраинов Л.Г.",YEAR(B1212)=2020),E1212,0)</f>
        <v/>
      </c>
    </row>
    <row r="1213">
      <c r="A1213" s="6" t="n">
        <v>1212</v>
      </c>
      <c r="B1213" s="13" t="n">
        <v>44133</v>
      </c>
      <c r="C1213" s="6" t="inlineStr">
        <is>
          <t>A37</t>
        </is>
      </c>
      <c r="D1213" s="6" t="n">
        <v>7</v>
      </c>
      <c r="E1213" s="15" t="n">
        <v>286</v>
      </c>
      <c r="F1213" s="5" t="inlineStr">
        <is>
          <t>нет</t>
        </is>
      </c>
      <c r="H1213">
        <f>VLOOKUP(C1213,Автомобили!$A$2:$G$1000,3,0)</f>
        <v/>
      </c>
      <c r="I1213">
        <f>VLOOKUP(D1213,Клиенты!$A$2:$D$1000,2,0)</f>
        <v/>
      </c>
      <c r="J1213">
        <f>IF(AND(H1213="Kaptur",I1213="Окраинов Л.Г.",YEAR(B1213)=2020),E1213,0)</f>
        <v/>
      </c>
    </row>
    <row r="1214">
      <c r="A1214" s="6" t="n">
        <v>1213</v>
      </c>
      <c r="B1214" s="13" t="n">
        <v>44134</v>
      </c>
      <c r="C1214" s="6" t="inlineStr">
        <is>
          <t>A59</t>
        </is>
      </c>
      <c r="D1214" s="6" t="n">
        <v>15</v>
      </c>
      <c r="E1214" s="15" t="n">
        <v>341</v>
      </c>
      <c r="F1214" s="5" t="inlineStr">
        <is>
          <t>нет</t>
        </is>
      </c>
      <c r="H1214">
        <f>VLOOKUP(C1214,Автомобили!$A$2:$G$1000,3,0)</f>
        <v/>
      </c>
      <c r="I1214">
        <f>VLOOKUP(D1214,Клиенты!$A$2:$D$1000,2,0)</f>
        <v/>
      </c>
      <c r="J1214">
        <f>IF(AND(H1214="Kaptur",I1214="Окраинов Л.Г.",YEAR(B1214)=2020),E1214,0)</f>
        <v/>
      </c>
    </row>
    <row r="1215">
      <c r="A1215" s="6" t="n">
        <v>1214</v>
      </c>
      <c r="B1215" s="13" t="n">
        <v>44134</v>
      </c>
      <c r="C1215" s="6" t="inlineStr">
        <is>
          <t>A19</t>
        </is>
      </c>
      <c r="D1215" s="6" t="n">
        <v>13</v>
      </c>
      <c r="E1215" s="15" t="n">
        <v>362</v>
      </c>
      <c r="F1215" s="5" t="inlineStr">
        <is>
          <t>нет</t>
        </is>
      </c>
      <c r="H1215">
        <f>VLOOKUP(C1215,Автомобили!$A$2:$G$1000,3,0)</f>
        <v/>
      </c>
      <c r="I1215">
        <f>VLOOKUP(D1215,Клиенты!$A$2:$D$1000,2,0)</f>
        <v/>
      </c>
      <c r="J1215">
        <f>IF(AND(H1215="Kaptur",I1215="Окраинов Л.Г.",YEAR(B1215)=2020),E1215,0)</f>
        <v/>
      </c>
    </row>
    <row r="1216">
      <c r="A1216" s="6" t="n">
        <v>1215</v>
      </c>
      <c r="B1216" s="13" t="n">
        <v>44134</v>
      </c>
      <c r="C1216" s="6" t="inlineStr">
        <is>
          <t>A13</t>
        </is>
      </c>
      <c r="D1216" s="6" t="n">
        <v>4</v>
      </c>
      <c r="E1216" s="15" t="n">
        <v>188</v>
      </c>
      <c r="F1216" s="5" t="inlineStr">
        <is>
          <t>нет</t>
        </is>
      </c>
      <c r="H1216">
        <f>VLOOKUP(C1216,Автомобили!$A$2:$G$1000,3,0)</f>
        <v/>
      </c>
      <c r="I1216">
        <f>VLOOKUP(D1216,Клиенты!$A$2:$D$1000,2,0)</f>
        <v/>
      </c>
      <c r="J1216">
        <f>IF(AND(H1216="Kaptur",I1216="Окраинов Л.Г.",YEAR(B1216)=2020),E1216,0)</f>
        <v/>
      </c>
    </row>
    <row r="1217">
      <c r="A1217" s="6" t="n">
        <v>1216</v>
      </c>
      <c r="B1217" s="13" t="n">
        <v>44134</v>
      </c>
      <c r="C1217" s="6" t="inlineStr">
        <is>
          <t>A60</t>
        </is>
      </c>
      <c r="D1217" s="6" t="n">
        <v>15</v>
      </c>
      <c r="E1217" s="15" t="n">
        <v>312</v>
      </c>
      <c r="F1217" s="5" t="inlineStr">
        <is>
          <t>нет</t>
        </is>
      </c>
      <c r="H1217">
        <f>VLOOKUP(C1217,Автомобили!$A$2:$G$1000,3,0)</f>
        <v/>
      </c>
      <c r="I1217">
        <f>VLOOKUP(D1217,Клиенты!$A$2:$D$1000,2,0)</f>
        <v/>
      </c>
      <c r="J1217">
        <f>IF(AND(H1217="Kaptur",I1217="Окраинов Л.Г.",YEAR(B1217)=2020),E1217,0)</f>
        <v/>
      </c>
    </row>
    <row r="1218">
      <c r="A1218" s="6" t="n">
        <v>1217</v>
      </c>
      <c r="B1218" s="13" t="n">
        <v>44135</v>
      </c>
      <c r="C1218" s="6" t="inlineStr">
        <is>
          <t>A27</t>
        </is>
      </c>
      <c r="D1218" s="6" t="n">
        <v>9</v>
      </c>
      <c r="E1218" s="15" t="n">
        <v>186</v>
      </c>
      <c r="F1218" s="5" t="inlineStr">
        <is>
          <t>нет</t>
        </is>
      </c>
      <c r="H1218">
        <f>VLOOKUP(C1218,Автомобили!$A$2:$G$1000,3,0)</f>
        <v/>
      </c>
      <c r="I1218">
        <f>VLOOKUP(D1218,Клиенты!$A$2:$D$1000,2,0)</f>
        <v/>
      </c>
      <c r="J1218">
        <f>IF(AND(H1218="Kaptur",I1218="Окраинов Л.Г.",YEAR(B1218)=2020),E1218,0)</f>
        <v/>
      </c>
    </row>
    <row r="1219">
      <c r="A1219" s="6" t="n">
        <v>1218</v>
      </c>
      <c r="B1219" s="13" t="n">
        <v>44135</v>
      </c>
      <c r="C1219" s="6" t="inlineStr">
        <is>
          <t>A51</t>
        </is>
      </c>
      <c r="D1219" s="6" t="n">
        <v>3</v>
      </c>
      <c r="E1219" s="15" t="n">
        <v>270</v>
      </c>
      <c r="F1219" s="5" t="inlineStr">
        <is>
          <t>нет</t>
        </is>
      </c>
      <c r="H1219">
        <f>VLOOKUP(C1219,Автомобили!$A$2:$G$1000,3,0)</f>
        <v/>
      </c>
      <c r="I1219">
        <f>VLOOKUP(D1219,Клиенты!$A$2:$D$1000,2,0)</f>
        <v/>
      </c>
      <c r="J1219">
        <f>IF(AND(H1219="Kaptur",I1219="Окраинов Л.Г.",YEAR(B1219)=2020),E1219,0)</f>
        <v/>
      </c>
    </row>
    <row r="1220">
      <c r="A1220" s="6" t="n">
        <v>1219</v>
      </c>
      <c r="B1220" s="13" t="n">
        <v>44135</v>
      </c>
      <c r="C1220" s="6" t="inlineStr">
        <is>
          <t>A10</t>
        </is>
      </c>
      <c r="D1220" s="6" t="n">
        <v>12</v>
      </c>
      <c r="E1220" s="15" t="n">
        <v>145</v>
      </c>
      <c r="F1220" s="5" t="inlineStr">
        <is>
          <t>нет</t>
        </is>
      </c>
      <c r="H1220">
        <f>VLOOKUP(C1220,Автомобили!$A$2:$G$1000,3,0)</f>
        <v/>
      </c>
      <c r="I1220">
        <f>VLOOKUP(D1220,Клиенты!$A$2:$D$1000,2,0)</f>
        <v/>
      </c>
      <c r="J1220">
        <f>IF(AND(H1220="Kaptur",I1220="Окраинов Л.Г.",YEAR(B1220)=2020),E1220,0)</f>
        <v/>
      </c>
    </row>
    <row r="1221">
      <c r="A1221" s="6" t="n">
        <v>1220</v>
      </c>
      <c r="B1221" s="13" t="n">
        <v>44135</v>
      </c>
      <c r="C1221" s="6" t="inlineStr">
        <is>
          <t>A19</t>
        </is>
      </c>
      <c r="D1221" s="6" t="n">
        <v>2</v>
      </c>
      <c r="E1221" s="15" t="n">
        <v>239</v>
      </c>
      <c r="F1221" s="5" t="inlineStr">
        <is>
          <t>нет</t>
        </is>
      </c>
      <c r="H1221">
        <f>VLOOKUP(C1221,Автомобили!$A$2:$G$1000,3,0)</f>
        <v/>
      </c>
      <c r="I1221">
        <f>VLOOKUP(D1221,Клиенты!$A$2:$D$1000,2,0)</f>
        <v/>
      </c>
      <c r="J1221">
        <f>IF(AND(H1221="Kaptur",I1221="Окраинов Л.Г.",YEAR(B1221)=2020),E1221,0)</f>
        <v/>
      </c>
    </row>
    <row r="1222">
      <c r="A1222" s="6" t="n">
        <v>1221</v>
      </c>
      <c r="B1222" s="13" t="n">
        <v>44136</v>
      </c>
      <c r="C1222" s="6" t="inlineStr">
        <is>
          <t>A33</t>
        </is>
      </c>
      <c r="D1222" s="6" t="n">
        <v>2</v>
      </c>
      <c r="E1222" s="15" t="n">
        <v>148</v>
      </c>
      <c r="F1222" s="5" t="inlineStr">
        <is>
          <t>нет</t>
        </is>
      </c>
      <c r="H1222">
        <f>VLOOKUP(C1222,Автомобили!$A$2:$G$1000,3,0)</f>
        <v/>
      </c>
      <c r="I1222">
        <f>VLOOKUP(D1222,Клиенты!$A$2:$D$1000,2,0)</f>
        <v/>
      </c>
      <c r="J1222">
        <f>IF(AND(H1222="Kaptur",I1222="Окраинов Л.Г.",YEAR(B1222)=2020),E1222,0)</f>
        <v/>
      </c>
    </row>
    <row r="1223">
      <c r="A1223" s="6" t="n">
        <v>1222</v>
      </c>
      <c r="B1223" s="13" t="n">
        <v>44136</v>
      </c>
      <c r="C1223" s="6" t="inlineStr">
        <is>
          <t>A43</t>
        </is>
      </c>
      <c r="D1223" s="6" t="n">
        <v>7</v>
      </c>
      <c r="E1223" s="15" t="n">
        <v>186</v>
      </c>
      <c r="F1223" s="5" t="inlineStr">
        <is>
          <t>нет</t>
        </is>
      </c>
      <c r="H1223">
        <f>VLOOKUP(C1223,Автомобили!$A$2:$G$1000,3,0)</f>
        <v/>
      </c>
      <c r="I1223">
        <f>VLOOKUP(D1223,Клиенты!$A$2:$D$1000,2,0)</f>
        <v/>
      </c>
      <c r="J1223">
        <f>IF(AND(H1223="Kaptur",I1223="Окраинов Л.Г.",YEAR(B1223)=2020),E1223,0)</f>
        <v/>
      </c>
    </row>
    <row r="1224">
      <c r="A1224" s="6" t="n">
        <v>1223</v>
      </c>
      <c r="B1224" s="13" t="n">
        <v>44136</v>
      </c>
      <c r="C1224" s="6" t="inlineStr">
        <is>
          <t>A3</t>
        </is>
      </c>
      <c r="D1224" s="6" t="n">
        <v>11</v>
      </c>
      <c r="E1224" s="15" t="n">
        <v>196</v>
      </c>
      <c r="F1224" s="5" t="inlineStr">
        <is>
          <t>нет</t>
        </is>
      </c>
      <c r="H1224">
        <f>VLOOKUP(C1224,Автомобили!$A$2:$G$1000,3,0)</f>
        <v/>
      </c>
      <c r="I1224">
        <f>VLOOKUP(D1224,Клиенты!$A$2:$D$1000,2,0)</f>
        <v/>
      </c>
      <c r="J1224">
        <f>IF(AND(H1224="Kaptur",I1224="Окраинов Л.Г.",YEAR(B1224)=2020),E1224,0)</f>
        <v/>
      </c>
    </row>
    <row r="1225">
      <c r="A1225" s="6" t="n">
        <v>1224</v>
      </c>
      <c r="B1225" s="13" t="n">
        <v>44136</v>
      </c>
      <c r="C1225" s="6" t="inlineStr">
        <is>
          <t>A18</t>
        </is>
      </c>
      <c r="D1225" s="6" t="n">
        <v>10</v>
      </c>
      <c r="E1225" s="15" t="n">
        <v>156</v>
      </c>
      <c r="F1225" s="5" t="inlineStr">
        <is>
          <t>нет</t>
        </is>
      </c>
      <c r="H1225">
        <f>VLOOKUP(C1225,Автомобили!$A$2:$G$1000,3,0)</f>
        <v/>
      </c>
      <c r="I1225">
        <f>VLOOKUP(D1225,Клиенты!$A$2:$D$1000,2,0)</f>
        <v/>
      </c>
      <c r="J1225">
        <f>IF(AND(H1225="Kaptur",I1225="Окраинов Л.Г.",YEAR(B1225)=2020),E1225,0)</f>
        <v/>
      </c>
    </row>
    <row r="1226">
      <c r="A1226" s="6" t="n">
        <v>1225</v>
      </c>
      <c r="B1226" s="13" t="n">
        <v>44137</v>
      </c>
      <c r="C1226" s="6" t="inlineStr">
        <is>
          <t>A37</t>
        </is>
      </c>
      <c r="D1226" s="6" t="n">
        <v>5</v>
      </c>
      <c r="E1226" s="15" t="n">
        <v>239</v>
      </c>
      <c r="F1226" s="5" t="inlineStr">
        <is>
          <t>нет</t>
        </is>
      </c>
      <c r="H1226">
        <f>VLOOKUP(C1226,Автомобили!$A$2:$G$1000,3,0)</f>
        <v/>
      </c>
      <c r="I1226">
        <f>VLOOKUP(D1226,Клиенты!$A$2:$D$1000,2,0)</f>
        <v/>
      </c>
      <c r="J1226">
        <f>IF(AND(H1226="Kaptur",I1226="Окраинов Л.Г.",YEAR(B1226)=2020),E1226,0)</f>
        <v/>
      </c>
    </row>
    <row r="1227">
      <c r="A1227" s="6" t="n">
        <v>1226</v>
      </c>
      <c r="B1227" s="13" t="n">
        <v>44137</v>
      </c>
      <c r="C1227" s="6" t="inlineStr">
        <is>
          <t>A65</t>
        </is>
      </c>
      <c r="D1227" s="6" t="n">
        <v>11</v>
      </c>
      <c r="E1227" s="15" t="n">
        <v>102</v>
      </c>
      <c r="F1227" s="5" t="inlineStr">
        <is>
          <t>нет</t>
        </is>
      </c>
      <c r="H1227">
        <f>VLOOKUP(C1227,Автомобили!$A$2:$G$1000,3,0)</f>
        <v/>
      </c>
      <c r="I1227">
        <f>VLOOKUP(D1227,Клиенты!$A$2:$D$1000,2,0)</f>
        <v/>
      </c>
      <c r="J1227">
        <f>IF(AND(H1227="Kaptur",I1227="Окраинов Л.Г.",YEAR(B1227)=2020),E1227,0)</f>
        <v/>
      </c>
    </row>
    <row r="1228">
      <c r="A1228" s="6" t="n">
        <v>1227</v>
      </c>
      <c r="B1228" s="13" t="n">
        <v>44137</v>
      </c>
      <c r="C1228" s="6" t="inlineStr">
        <is>
          <t>A46</t>
        </is>
      </c>
      <c r="D1228" s="6" t="n">
        <v>12</v>
      </c>
      <c r="E1228" s="15" t="n">
        <v>428</v>
      </c>
      <c r="F1228" s="5" t="inlineStr">
        <is>
          <t>нет</t>
        </is>
      </c>
      <c r="H1228">
        <f>VLOOKUP(C1228,Автомобили!$A$2:$G$1000,3,0)</f>
        <v/>
      </c>
      <c r="I1228">
        <f>VLOOKUP(D1228,Клиенты!$A$2:$D$1000,2,0)</f>
        <v/>
      </c>
      <c r="J1228">
        <f>IF(AND(H1228="Kaptur",I1228="Окраинов Л.Г.",YEAR(B1228)=2020),E1228,0)</f>
        <v/>
      </c>
    </row>
    <row r="1229">
      <c r="A1229" s="6" t="n">
        <v>1228</v>
      </c>
      <c r="B1229" s="13" t="n">
        <v>44137</v>
      </c>
      <c r="C1229" s="6" t="inlineStr">
        <is>
          <t>A45</t>
        </is>
      </c>
      <c r="D1229" s="6" t="n">
        <v>10</v>
      </c>
      <c r="E1229" s="15" t="n">
        <v>168</v>
      </c>
      <c r="F1229" s="5" t="inlineStr">
        <is>
          <t>нет</t>
        </is>
      </c>
      <c r="H1229">
        <f>VLOOKUP(C1229,Автомобили!$A$2:$G$1000,3,0)</f>
        <v/>
      </c>
      <c r="I1229">
        <f>VLOOKUP(D1229,Клиенты!$A$2:$D$1000,2,0)</f>
        <v/>
      </c>
      <c r="J1229">
        <f>IF(AND(H1229="Kaptur",I1229="Окраинов Л.Г.",YEAR(B1229)=2020),E1229,0)</f>
        <v/>
      </c>
    </row>
    <row r="1230">
      <c r="A1230" s="6" t="n">
        <v>1229</v>
      </c>
      <c r="B1230" s="13" t="n">
        <v>44138</v>
      </c>
      <c r="C1230" s="6" t="inlineStr">
        <is>
          <t>A45</t>
        </is>
      </c>
      <c r="D1230" s="6" t="n">
        <v>9</v>
      </c>
      <c r="E1230" s="15" t="n">
        <v>364</v>
      </c>
      <c r="F1230" s="5" t="inlineStr">
        <is>
          <t>нет</t>
        </is>
      </c>
      <c r="H1230">
        <f>VLOOKUP(C1230,Автомобили!$A$2:$G$1000,3,0)</f>
        <v/>
      </c>
      <c r="I1230">
        <f>VLOOKUP(D1230,Клиенты!$A$2:$D$1000,2,0)</f>
        <v/>
      </c>
      <c r="J1230">
        <f>IF(AND(H1230="Kaptur",I1230="Окраинов Л.Г.",YEAR(B1230)=2020),E1230,0)</f>
        <v/>
      </c>
    </row>
    <row r="1231">
      <c r="A1231" s="6" t="n">
        <v>1230</v>
      </c>
      <c r="B1231" s="13" t="n">
        <v>44138</v>
      </c>
      <c r="C1231" s="6" t="inlineStr">
        <is>
          <t>A53</t>
        </is>
      </c>
      <c r="D1231" s="6" t="n">
        <v>9</v>
      </c>
      <c r="E1231" s="15" t="n">
        <v>124</v>
      </c>
      <c r="F1231" s="5" t="inlineStr">
        <is>
          <t>нет</t>
        </is>
      </c>
      <c r="H1231">
        <f>VLOOKUP(C1231,Автомобили!$A$2:$G$1000,3,0)</f>
        <v/>
      </c>
      <c r="I1231">
        <f>VLOOKUP(D1231,Клиенты!$A$2:$D$1000,2,0)</f>
        <v/>
      </c>
      <c r="J1231">
        <f>IF(AND(H1231="Kaptur",I1231="Окраинов Л.Г.",YEAR(B1231)=2020),E1231,0)</f>
        <v/>
      </c>
    </row>
    <row r="1232">
      <c r="A1232" s="6" t="n">
        <v>1231</v>
      </c>
      <c r="B1232" s="13" t="n">
        <v>44138</v>
      </c>
      <c r="C1232" s="6" t="inlineStr">
        <is>
          <t>A14</t>
        </is>
      </c>
      <c r="D1232" s="6" t="n">
        <v>8</v>
      </c>
      <c r="E1232" s="15" t="n">
        <v>136</v>
      </c>
      <c r="F1232" s="5" t="inlineStr">
        <is>
          <t>нет</t>
        </is>
      </c>
      <c r="H1232">
        <f>VLOOKUP(C1232,Автомобили!$A$2:$G$1000,3,0)</f>
        <v/>
      </c>
      <c r="I1232">
        <f>VLOOKUP(D1232,Клиенты!$A$2:$D$1000,2,0)</f>
        <v/>
      </c>
      <c r="J1232">
        <f>IF(AND(H1232="Kaptur",I1232="Окраинов Л.Г.",YEAR(B1232)=2020),E1232,0)</f>
        <v/>
      </c>
    </row>
    <row r="1233">
      <c r="A1233" s="6" t="n">
        <v>1232</v>
      </c>
      <c r="B1233" s="13" t="n">
        <v>44138</v>
      </c>
      <c r="C1233" s="6" t="inlineStr">
        <is>
          <t>A13</t>
        </is>
      </c>
      <c r="D1233" s="6" t="n">
        <v>10</v>
      </c>
      <c r="E1233" s="15" t="n">
        <v>126</v>
      </c>
      <c r="F1233" s="5" t="inlineStr">
        <is>
          <t>нет</t>
        </is>
      </c>
      <c r="H1233">
        <f>VLOOKUP(C1233,Автомобили!$A$2:$G$1000,3,0)</f>
        <v/>
      </c>
      <c r="I1233">
        <f>VLOOKUP(D1233,Клиенты!$A$2:$D$1000,2,0)</f>
        <v/>
      </c>
      <c r="J1233">
        <f>IF(AND(H1233="Kaptur",I1233="Окраинов Л.Г.",YEAR(B1233)=2020),E1233,0)</f>
        <v/>
      </c>
    </row>
    <row r="1234">
      <c r="A1234" s="6" t="n">
        <v>1233</v>
      </c>
      <c r="B1234" s="13" t="n">
        <v>44139</v>
      </c>
      <c r="C1234" s="6" t="inlineStr">
        <is>
          <t>A10</t>
        </is>
      </c>
      <c r="D1234" s="6" t="n">
        <v>15</v>
      </c>
      <c r="E1234" s="15" t="n">
        <v>78</v>
      </c>
      <c r="F1234" s="5" t="inlineStr">
        <is>
          <t>нет</t>
        </is>
      </c>
      <c r="H1234">
        <f>VLOOKUP(C1234,Автомобили!$A$2:$G$1000,3,0)</f>
        <v/>
      </c>
      <c r="I1234">
        <f>VLOOKUP(D1234,Клиенты!$A$2:$D$1000,2,0)</f>
        <v/>
      </c>
      <c r="J1234">
        <f>IF(AND(H1234="Kaptur",I1234="Окраинов Л.Г.",YEAR(B1234)=2020),E1234,0)</f>
        <v/>
      </c>
    </row>
    <row r="1235">
      <c r="A1235" s="6" t="n">
        <v>1234</v>
      </c>
      <c r="B1235" s="13" t="n">
        <v>44139</v>
      </c>
      <c r="C1235" s="6" t="inlineStr">
        <is>
          <t>A2</t>
        </is>
      </c>
      <c r="D1235" s="6" t="n">
        <v>8</v>
      </c>
      <c r="E1235" s="15" t="n">
        <v>115</v>
      </c>
      <c r="F1235" s="5" t="inlineStr">
        <is>
          <t>нет</t>
        </is>
      </c>
      <c r="H1235">
        <f>VLOOKUP(C1235,Автомобили!$A$2:$G$1000,3,0)</f>
        <v/>
      </c>
      <c r="I1235">
        <f>VLOOKUP(D1235,Клиенты!$A$2:$D$1000,2,0)</f>
        <v/>
      </c>
      <c r="J1235">
        <f>IF(AND(H1235="Kaptur",I1235="Окраинов Л.Г.",YEAR(B1235)=2020),E1235,0)</f>
        <v/>
      </c>
    </row>
    <row r="1236">
      <c r="A1236" s="6" t="n">
        <v>1235</v>
      </c>
      <c r="B1236" s="13" t="n">
        <v>44139</v>
      </c>
      <c r="C1236" s="6" t="inlineStr">
        <is>
          <t>A56</t>
        </is>
      </c>
      <c r="D1236" s="6" t="n">
        <v>2</v>
      </c>
      <c r="E1236" s="15" t="n">
        <v>166</v>
      </c>
      <c r="F1236" s="5" t="inlineStr">
        <is>
          <t>нет</t>
        </is>
      </c>
      <c r="H1236">
        <f>VLOOKUP(C1236,Автомобили!$A$2:$G$1000,3,0)</f>
        <v/>
      </c>
      <c r="I1236">
        <f>VLOOKUP(D1236,Клиенты!$A$2:$D$1000,2,0)</f>
        <v/>
      </c>
      <c r="J1236">
        <f>IF(AND(H1236="Kaptur",I1236="Окраинов Л.Г.",YEAR(B1236)=2020),E1236,0)</f>
        <v/>
      </c>
    </row>
    <row r="1237">
      <c r="A1237" s="6" t="n">
        <v>1236</v>
      </c>
      <c r="B1237" s="13" t="n">
        <v>44139</v>
      </c>
      <c r="C1237" s="6" t="inlineStr">
        <is>
          <t>A3</t>
        </is>
      </c>
      <c r="D1237" s="6" t="n">
        <v>5</v>
      </c>
      <c r="E1237" s="15" t="n">
        <v>391</v>
      </c>
      <c r="F1237" s="5" t="inlineStr">
        <is>
          <t>нет</t>
        </is>
      </c>
      <c r="H1237">
        <f>VLOOKUP(C1237,Автомобили!$A$2:$G$1000,3,0)</f>
        <v/>
      </c>
      <c r="I1237">
        <f>VLOOKUP(D1237,Клиенты!$A$2:$D$1000,2,0)</f>
        <v/>
      </c>
      <c r="J1237">
        <f>IF(AND(H1237="Kaptur",I1237="Окраинов Л.Г.",YEAR(B1237)=2020),E1237,0)</f>
        <v/>
      </c>
    </row>
    <row r="1238">
      <c r="A1238" s="6" t="n">
        <v>1237</v>
      </c>
      <c r="B1238" s="13" t="n">
        <v>44140</v>
      </c>
      <c r="C1238" s="6" t="inlineStr">
        <is>
          <t>A3</t>
        </is>
      </c>
      <c r="D1238" s="6" t="n">
        <v>5</v>
      </c>
      <c r="E1238" s="15" t="n">
        <v>124</v>
      </c>
      <c r="F1238" s="5" t="inlineStr">
        <is>
          <t>нет</t>
        </is>
      </c>
      <c r="H1238">
        <f>VLOOKUP(C1238,Автомобили!$A$2:$G$1000,3,0)</f>
        <v/>
      </c>
      <c r="I1238">
        <f>VLOOKUP(D1238,Клиенты!$A$2:$D$1000,2,0)</f>
        <v/>
      </c>
      <c r="J1238">
        <f>IF(AND(H1238="Kaptur",I1238="Окраинов Л.Г.",YEAR(B1238)=2020),E1238,0)</f>
        <v/>
      </c>
    </row>
    <row r="1239">
      <c r="A1239" s="6" t="n">
        <v>1238</v>
      </c>
      <c r="B1239" s="13" t="n">
        <v>44140</v>
      </c>
      <c r="C1239" s="6" t="inlineStr">
        <is>
          <t>A42</t>
        </is>
      </c>
      <c r="D1239" s="6" t="n">
        <v>15</v>
      </c>
      <c r="E1239" s="15" t="n">
        <v>97</v>
      </c>
      <c r="F1239" s="5" t="inlineStr">
        <is>
          <t>нет</t>
        </is>
      </c>
      <c r="H1239">
        <f>VLOOKUP(C1239,Автомобили!$A$2:$G$1000,3,0)</f>
        <v/>
      </c>
      <c r="I1239">
        <f>VLOOKUP(D1239,Клиенты!$A$2:$D$1000,2,0)</f>
        <v/>
      </c>
      <c r="J1239">
        <f>IF(AND(H1239="Kaptur",I1239="Окраинов Л.Г.",YEAR(B1239)=2020),E1239,0)</f>
        <v/>
      </c>
    </row>
    <row r="1240">
      <c r="A1240" s="6" t="n">
        <v>1239</v>
      </c>
      <c r="B1240" s="13" t="n">
        <v>44140</v>
      </c>
      <c r="C1240" s="6" t="inlineStr">
        <is>
          <t>A31</t>
        </is>
      </c>
      <c r="D1240" s="6" t="n">
        <v>2</v>
      </c>
      <c r="E1240" s="15" t="n">
        <v>418</v>
      </c>
      <c r="F1240" s="5" t="inlineStr">
        <is>
          <t>нет</t>
        </is>
      </c>
      <c r="H1240">
        <f>VLOOKUP(C1240,Автомобили!$A$2:$G$1000,3,0)</f>
        <v/>
      </c>
      <c r="I1240">
        <f>VLOOKUP(D1240,Клиенты!$A$2:$D$1000,2,0)</f>
        <v/>
      </c>
      <c r="J1240">
        <f>IF(AND(H1240="Kaptur",I1240="Окраинов Л.Г.",YEAR(B1240)=2020),E1240,0)</f>
        <v/>
      </c>
    </row>
    <row r="1241">
      <c r="A1241" s="6" t="n">
        <v>1240</v>
      </c>
      <c r="B1241" s="13" t="n">
        <v>44140</v>
      </c>
      <c r="C1241" s="6" t="inlineStr">
        <is>
          <t>A61</t>
        </is>
      </c>
      <c r="D1241" s="6" t="n">
        <v>5</v>
      </c>
      <c r="E1241" s="15" t="n">
        <v>312</v>
      </c>
      <c r="F1241" s="5" t="inlineStr">
        <is>
          <t>нет</t>
        </is>
      </c>
      <c r="H1241">
        <f>VLOOKUP(C1241,Автомобили!$A$2:$G$1000,3,0)</f>
        <v/>
      </c>
      <c r="I1241">
        <f>VLOOKUP(D1241,Клиенты!$A$2:$D$1000,2,0)</f>
        <v/>
      </c>
      <c r="J1241">
        <f>IF(AND(H1241="Kaptur",I1241="Окраинов Л.Г.",YEAR(B1241)=2020),E1241,0)</f>
        <v/>
      </c>
    </row>
    <row r="1242">
      <c r="A1242" s="6" t="n">
        <v>1241</v>
      </c>
      <c r="B1242" s="13" t="n">
        <v>44141</v>
      </c>
      <c r="C1242" s="6" t="inlineStr">
        <is>
          <t>A25</t>
        </is>
      </c>
      <c r="D1242" s="6" t="n">
        <v>2</v>
      </c>
      <c r="E1242" s="15" t="n">
        <v>113</v>
      </c>
      <c r="F1242" s="5" t="inlineStr">
        <is>
          <t>нет</t>
        </is>
      </c>
      <c r="H1242">
        <f>VLOOKUP(C1242,Автомобили!$A$2:$G$1000,3,0)</f>
        <v/>
      </c>
      <c r="I1242">
        <f>VLOOKUP(D1242,Клиенты!$A$2:$D$1000,2,0)</f>
        <v/>
      </c>
      <c r="J1242">
        <f>IF(AND(H1242="Kaptur",I1242="Окраинов Л.Г.",YEAR(B1242)=2020),E1242,0)</f>
        <v/>
      </c>
    </row>
    <row r="1243">
      <c r="A1243" s="6" t="n">
        <v>1242</v>
      </c>
      <c r="B1243" s="13" t="n">
        <v>44141</v>
      </c>
      <c r="C1243" s="6" t="inlineStr">
        <is>
          <t>A39</t>
        </is>
      </c>
      <c r="D1243" s="6" t="n">
        <v>8</v>
      </c>
      <c r="E1243" s="15" t="n">
        <v>263</v>
      </c>
      <c r="F1243" s="5" t="inlineStr">
        <is>
          <t>нет</t>
        </is>
      </c>
      <c r="H1243">
        <f>VLOOKUP(C1243,Автомобили!$A$2:$G$1000,3,0)</f>
        <v/>
      </c>
      <c r="I1243">
        <f>VLOOKUP(D1243,Клиенты!$A$2:$D$1000,2,0)</f>
        <v/>
      </c>
      <c r="J1243">
        <f>IF(AND(H1243="Kaptur",I1243="Окраинов Л.Г.",YEAR(B1243)=2020),E1243,0)</f>
        <v/>
      </c>
    </row>
    <row r="1244">
      <c r="A1244" s="6" t="n">
        <v>1243</v>
      </c>
      <c r="B1244" s="13" t="n">
        <v>44141</v>
      </c>
      <c r="C1244" s="6" t="inlineStr">
        <is>
          <t>A2</t>
        </is>
      </c>
      <c r="D1244" s="6" t="n">
        <v>14</v>
      </c>
      <c r="E1244" s="15" t="n">
        <v>371</v>
      </c>
      <c r="F1244" s="5" t="inlineStr">
        <is>
          <t>нет</t>
        </is>
      </c>
      <c r="H1244">
        <f>VLOOKUP(C1244,Автомобили!$A$2:$G$1000,3,0)</f>
        <v/>
      </c>
      <c r="I1244">
        <f>VLOOKUP(D1244,Клиенты!$A$2:$D$1000,2,0)</f>
        <v/>
      </c>
      <c r="J1244">
        <f>IF(AND(H1244="Kaptur",I1244="Окраинов Л.Г.",YEAR(B1244)=2020),E1244,0)</f>
        <v/>
      </c>
    </row>
    <row r="1245">
      <c r="A1245" s="6" t="n">
        <v>1244</v>
      </c>
      <c r="B1245" s="13" t="n">
        <v>44141</v>
      </c>
      <c r="C1245" s="6" t="inlineStr">
        <is>
          <t>A17</t>
        </is>
      </c>
      <c r="D1245" s="6" t="n">
        <v>13</v>
      </c>
      <c r="E1245" s="15" t="n">
        <v>167</v>
      </c>
      <c r="F1245" s="5" t="inlineStr">
        <is>
          <t>нет</t>
        </is>
      </c>
      <c r="H1245">
        <f>VLOOKUP(C1245,Автомобили!$A$2:$G$1000,3,0)</f>
        <v/>
      </c>
      <c r="I1245">
        <f>VLOOKUP(D1245,Клиенты!$A$2:$D$1000,2,0)</f>
        <v/>
      </c>
      <c r="J1245">
        <f>IF(AND(H1245="Kaptur",I1245="Окраинов Л.Г.",YEAR(B1245)=2020),E1245,0)</f>
        <v/>
      </c>
    </row>
    <row r="1246">
      <c r="A1246" s="6" t="n">
        <v>1245</v>
      </c>
      <c r="B1246" s="13" t="n">
        <v>44142</v>
      </c>
      <c r="C1246" s="6" t="inlineStr">
        <is>
          <t>A65</t>
        </is>
      </c>
      <c r="D1246" s="6" t="n">
        <v>14</v>
      </c>
      <c r="E1246" s="15" t="n">
        <v>400</v>
      </c>
      <c r="F1246" s="5" t="inlineStr">
        <is>
          <t>нет</t>
        </is>
      </c>
      <c r="H1246">
        <f>VLOOKUP(C1246,Автомобили!$A$2:$G$1000,3,0)</f>
        <v/>
      </c>
      <c r="I1246">
        <f>VLOOKUP(D1246,Клиенты!$A$2:$D$1000,2,0)</f>
        <v/>
      </c>
      <c r="J1246">
        <f>IF(AND(H1246="Kaptur",I1246="Окраинов Л.Г.",YEAR(B1246)=2020),E1246,0)</f>
        <v/>
      </c>
    </row>
    <row r="1247">
      <c r="A1247" s="6" t="n">
        <v>1246</v>
      </c>
      <c r="B1247" s="13" t="n">
        <v>44142</v>
      </c>
      <c r="C1247" s="6" t="inlineStr">
        <is>
          <t>A62</t>
        </is>
      </c>
      <c r="D1247" s="6" t="n">
        <v>5</v>
      </c>
      <c r="E1247" s="15" t="n">
        <v>83</v>
      </c>
      <c r="F1247" s="5" t="inlineStr">
        <is>
          <t>нет</t>
        </is>
      </c>
      <c r="H1247">
        <f>VLOOKUP(C1247,Автомобили!$A$2:$G$1000,3,0)</f>
        <v/>
      </c>
      <c r="I1247">
        <f>VLOOKUP(D1247,Клиенты!$A$2:$D$1000,2,0)</f>
        <v/>
      </c>
      <c r="J1247">
        <f>IF(AND(H1247="Kaptur",I1247="Окраинов Л.Г.",YEAR(B1247)=2020),E1247,0)</f>
        <v/>
      </c>
    </row>
    <row r="1248">
      <c r="A1248" s="6" t="n">
        <v>1247</v>
      </c>
      <c r="B1248" s="13" t="n">
        <v>44142</v>
      </c>
      <c r="C1248" s="6" t="inlineStr">
        <is>
          <t>A25</t>
        </is>
      </c>
      <c r="D1248" s="6" t="n">
        <v>6</v>
      </c>
      <c r="E1248" s="15" t="n">
        <v>290</v>
      </c>
      <c r="F1248" s="5" t="inlineStr">
        <is>
          <t>нет</t>
        </is>
      </c>
      <c r="H1248">
        <f>VLOOKUP(C1248,Автомобили!$A$2:$G$1000,3,0)</f>
        <v/>
      </c>
      <c r="I1248">
        <f>VLOOKUP(D1248,Клиенты!$A$2:$D$1000,2,0)</f>
        <v/>
      </c>
      <c r="J1248">
        <f>IF(AND(H1248="Kaptur",I1248="Окраинов Л.Г.",YEAR(B1248)=2020),E1248,0)</f>
        <v/>
      </c>
    </row>
    <row r="1249">
      <c r="A1249" s="6" t="n">
        <v>1248</v>
      </c>
      <c r="B1249" s="13" t="n">
        <v>44142</v>
      </c>
      <c r="C1249" s="6" t="inlineStr">
        <is>
          <t>A53</t>
        </is>
      </c>
      <c r="D1249" s="6" t="n">
        <v>15</v>
      </c>
      <c r="E1249" s="15" t="n">
        <v>404</v>
      </c>
      <c r="F1249" s="5" t="inlineStr">
        <is>
          <t>нет</t>
        </is>
      </c>
      <c r="H1249">
        <f>VLOOKUP(C1249,Автомобили!$A$2:$G$1000,3,0)</f>
        <v/>
      </c>
      <c r="I1249">
        <f>VLOOKUP(D1249,Клиенты!$A$2:$D$1000,2,0)</f>
        <v/>
      </c>
      <c r="J1249">
        <f>IF(AND(H1249="Kaptur",I1249="Окраинов Л.Г.",YEAR(B1249)=2020),E1249,0)</f>
        <v/>
      </c>
    </row>
    <row r="1250">
      <c r="A1250" s="6" t="n">
        <v>1249</v>
      </c>
      <c r="B1250" s="13" t="n">
        <v>44143</v>
      </c>
      <c r="C1250" s="6" t="inlineStr">
        <is>
          <t>A5</t>
        </is>
      </c>
      <c r="D1250" s="6" t="n">
        <v>2</v>
      </c>
      <c r="E1250" s="15" t="n">
        <v>428</v>
      </c>
      <c r="F1250" s="5" t="inlineStr">
        <is>
          <t>нет</t>
        </is>
      </c>
      <c r="H1250">
        <f>VLOOKUP(C1250,Автомобили!$A$2:$G$1000,3,0)</f>
        <v/>
      </c>
      <c r="I1250">
        <f>VLOOKUP(D1250,Клиенты!$A$2:$D$1000,2,0)</f>
        <v/>
      </c>
      <c r="J1250">
        <f>IF(AND(H1250="Kaptur",I1250="Окраинов Л.Г.",YEAR(B1250)=2020),E1250,0)</f>
        <v/>
      </c>
    </row>
    <row r="1251">
      <c r="A1251" s="6" t="n">
        <v>1250</v>
      </c>
      <c r="B1251" s="13" t="n">
        <v>44143</v>
      </c>
      <c r="C1251" s="6" t="inlineStr">
        <is>
          <t>A61</t>
        </is>
      </c>
      <c r="D1251" s="6" t="n">
        <v>4</v>
      </c>
      <c r="E1251" s="15" t="n">
        <v>439</v>
      </c>
      <c r="F1251" s="5" t="inlineStr">
        <is>
          <t>нет</t>
        </is>
      </c>
      <c r="H1251">
        <f>VLOOKUP(C1251,Автомобили!$A$2:$G$1000,3,0)</f>
        <v/>
      </c>
      <c r="I1251">
        <f>VLOOKUP(D1251,Клиенты!$A$2:$D$1000,2,0)</f>
        <v/>
      </c>
      <c r="J1251">
        <f>IF(AND(H1251="Kaptur",I1251="Окраинов Л.Г.",YEAR(B1251)=2020),E1251,0)</f>
        <v/>
      </c>
    </row>
    <row r="1252">
      <c r="A1252" s="6" t="n">
        <v>1251</v>
      </c>
      <c r="B1252" s="13" t="n">
        <v>44143</v>
      </c>
      <c r="C1252" s="6" t="inlineStr">
        <is>
          <t>A12</t>
        </is>
      </c>
      <c r="D1252" s="6" t="n">
        <v>12</v>
      </c>
      <c r="E1252" s="15" t="n">
        <v>242</v>
      </c>
      <c r="F1252" s="5" t="inlineStr">
        <is>
          <t>нет</t>
        </is>
      </c>
      <c r="H1252">
        <f>VLOOKUP(C1252,Автомобили!$A$2:$G$1000,3,0)</f>
        <v/>
      </c>
      <c r="I1252">
        <f>VLOOKUP(D1252,Клиенты!$A$2:$D$1000,2,0)</f>
        <v/>
      </c>
      <c r="J1252">
        <f>IF(AND(H1252="Kaptur",I1252="Окраинов Л.Г.",YEAR(B1252)=2020),E1252,0)</f>
        <v/>
      </c>
    </row>
    <row r="1253">
      <c r="A1253" s="6" t="n">
        <v>1252</v>
      </c>
      <c r="B1253" s="13" t="n">
        <v>44143</v>
      </c>
      <c r="C1253" s="6" t="inlineStr">
        <is>
          <t>A13</t>
        </is>
      </c>
      <c r="D1253" s="6" t="n">
        <v>11</v>
      </c>
      <c r="E1253" s="15" t="n">
        <v>177</v>
      </c>
      <c r="F1253" s="5" t="inlineStr">
        <is>
          <t>нет</t>
        </is>
      </c>
      <c r="H1253">
        <f>VLOOKUP(C1253,Автомобили!$A$2:$G$1000,3,0)</f>
        <v/>
      </c>
      <c r="I1253">
        <f>VLOOKUP(D1253,Клиенты!$A$2:$D$1000,2,0)</f>
        <v/>
      </c>
      <c r="J1253">
        <f>IF(AND(H1253="Kaptur",I1253="Окраинов Л.Г.",YEAR(B1253)=2020),E1253,0)</f>
        <v/>
      </c>
    </row>
    <row r="1254">
      <c r="A1254" s="6" t="n">
        <v>1253</v>
      </c>
      <c r="B1254" s="13" t="n">
        <v>44144</v>
      </c>
      <c r="C1254" s="6" t="inlineStr">
        <is>
          <t>A38</t>
        </is>
      </c>
      <c r="D1254" s="6" t="n">
        <v>7</v>
      </c>
      <c r="E1254" s="15" t="n">
        <v>384</v>
      </c>
      <c r="F1254" s="5" t="inlineStr">
        <is>
          <t>нет</t>
        </is>
      </c>
      <c r="H1254">
        <f>VLOOKUP(C1254,Автомобили!$A$2:$G$1000,3,0)</f>
        <v/>
      </c>
      <c r="I1254">
        <f>VLOOKUP(D1254,Клиенты!$A$2:$D$1000,2,0)</f>
        <v/>
      </c>
      <c r="J1254">
        <f>IF(AND(H1254="Kaptur",I1254="Окраинов Л.Г.",YEAR(B1254)=2020),E1254,0)</f>
        <v/>
      </c>
    </row>
    <row r="1255">
      <c r="A1255" s="6" t="n">
        <v>1254</v>
      </c>
      <c r="B1255" s="13" t="n">
        <v>44144</v>
      </c>
      <c r="C1255" s="6" t="inlineStr">
        <is>
          <t>A32</t>
        </is>
      </c>
      <c r="D1255" s="6" t="n">
        <v>2</v>
      </c>
      <c r="E1255" s="15" t="n">
        <v>303</v>
      </c>
      <c r="F1255" s="5" t="inlineStr">
        <is>
          <t>нет</t>
        </is>
      </c>
      <c r="H1255">
        <f>VLOOKUP(C1255,Автомобили!$A$2:$G$1000,3,0)</f>
        <v/>
      </c>
      <c r="I1255">
        <f>VLOOKUP(D1255,Клиенты!$A$2:$D$1000,2,0)</f>
        <v/>
      </c>
      <c r="J1255">
        <f>IF(AND(H1255="Kaptur",I1255="Окраинов Л.Г.",YEAR(B1255)=2020),E1255,0)</f>
        <v/>
      </c>
    </row>
    <row r="1256">
      <c r="A1256" s="6" t="n">
        <v>1255</v>
      </c>
      <c r="B1256" s="13" t="n">
        <v>44144</v>
      </c>
      <c r="C1256" s="6" t="inlineStr">
        <is>
          <t>A13</t>
        </is>
      </c>
      <c r="D1256" s="6" t="n">
        <v>2</v>
      </c>
      <c r="E1256" s="15" t="n">
        <v>142</v>
      </c>
      <c r="F1256" s="5" t="inlineStr">
        <is>
          <t>нет</t>
        </is>
      </c>
      <c r="H1256">
        <f>VLOOKUP(C1256,Автомобили!$A$2:$G$1000,3,0)</f>
        <v/>
      </c>
      <c r="I1256">
        <f>VLOOKUP(D1256,Клиенты!$A$2:$D$1000,2,0)</f>
        <v/>
      </c>
      <c r="J1256">
        <f>IF(AND(H1256="Kaptur",I1256="Окраинов Л.Г.",YEAR(B1256)=2020),E1256,0)</f>
        <v/>
      </c>
    </row>
    <row r="1257">
      <c r="A1257" s="6" t="n">
        <v>1256</v>
      </c>
      <c r="B1257" s="13" t="n">
        <v>44144</v>
      </c>
      <c r="C1257" s="6" t="inlineStr">
        <is>
          <t>A59</t>
        </is>
      </c>
      <c r="D1257" s="6" t="n">
        <v>3</v>
      </c>
      <c r="E1257" s="15" t="n">
        <v>349</v>
      </c>
      <c r="F1257" s="5" t="inlineStr">
        <is>
          <t>нет</t>
        </is>
      </c>
      <c r="H1257">
        <f>VLOOKUP(C1257,Автомобили!$A$2:$G$1000,3,0)</f>
        <v/>
      </c>
      <c r="I1257">
        <f>VLOOKUP(D1257,Клиенты!$A$2:$D$1000,2,0)</f>
        <v/>
      </c>
      <c r="J1257">
        <f>IF(AND(H1257="Kaptur",I1257="Окраинов Л.Г.",YEAR(B1257)=2020),E1257,0)</f>
        <v/>
      </c>
    </row>
    <row r="1258">
      <c r="A1258" s="6" t="n">
        <v>1257</v>
      </c>
      <c r="B1258" s="13" t="n">
        <v>44145</v>
      </c>
      <c r="C1258" s="6" t="inlineStr">
        <is>
          <t>A46</t>
        </is>
      </c>
      <c r="D1258" s="6" t="n">
        <v>3</v>
      </c>
      <c r="E1258" s="15" t="n">
        <v>356</v>
      </c>
      <c r="F1258" s="5" t="inlineStr">
        <is>
          <t>нет</t>
        </is>
      </c>
      <c r="H1258">
        <f>VLOOKUP(C1258,Автомобили!$A$2:$G$1000,3,0)</f>
        <v/>
      </c>
      <c r="I1258">
        <f>VLOOKUP(D1258,Клиенты!$A$2:$D$1000,2,0)</f>
        <v/>
      </c>
      <c r="J1258">
        <f>IF(AND(H1258="Kaptur",I1258="Окраинов Л.Г.",YEAR(B1258)=2020),E1258,0)</f>
        <v/>
      </c>
    </row>
    <row r="1259">
      <c r="A1259" s="6" t="n">
        <v>1258</v>
      </c>
      <c r="B1259" s="13" t="n">
        <v>44145</v>
      </c>
      <c r="C1259" s="6" t="inlineStr">
        <is>
          <t>A6</t>
        </is>
      </c>
      <c r="D1259" s="6" t="n">
        <v>11</v>
      </c>
      <c r="E1259" s="15" t="n">
        <v>140</v>
      </c>
      <c r="F1259" s="5" t="inlineStr">
        <is>
          <t>нет</t>
        </is>
      </c>
      <c r="H1259">
        <f>VLOOKUP(C1259,Автомобили!$A$2:$G$1000,3,0)</f>
        <v/>
      </c>
      <c r="I1259">
        <f>VLOOKUP(D1259,Клиенты!$A$2:$D$1000,2,0)</f>
        <v/>
      </c>
      <c r="J1259">
        <f>IF(AND(H1259="Kaptur",I1259="Окраинов Л.Г.",YEAR(B1259)=2020),E1259,0)</f>
        <v/>
      </c>
    </row>
    <row r="1260">
      <c r="A1260" s="6" t="n">
        <v>1259</v>
      </c>
      <c r="B1260" s="13" t="n">
        <v>44145</v>
      </c>
      <c r="C1260" s="6" t="inlineStr">
        <is>
          <t>A30</t>
        </is>
      </c>
      <c r="D1260" s="6" t="n">
        <v>1</v>
      </c>
      <c r="E1260" s="15" t="n">
        <v>133</v>
      </c>
      <c r="F1260" s="5" t="inlineStr">
        <is>
          <t>нет</t>
        </is>
      </c>
      <c r="H1260">
        <f>VLOOKUP(C1260,Автомобили!$A$2:$G$1000,3,0)</f>
        <v/>
      </c>
      <c r="I1260">
        <f>VLOOKUP(D1260,Клиенты!$A$2:$D$1000,2,0)</f>
        <v/>
      </c>
      <c r="J1260">
        <f>IF(AND(H1260="Kaptur",I1260="Окраинов Л.Г.",YEAR(B1260)=2020),E1260,0)</f>
        <v/>
      </c>
    </row>
    <row r="1261">
      <c r="A1261" s="6" t="n">
        <v>1260</v>
      </c>
      <c r="B1261" s="13" t="n">
        <v>44145</v>
      </c>
      <c r="C1261" s="6" t="inlineStr">
        <is>
          <t>A64</t>
        </is>
      </c>
      <c r="D1261" s="6" t="n">
        <v>6</v>
      </c>
      <c r="E1261" s="15" t="n">
        <v>95</v>
      </c>
      <c r="F1261" s="5" t="inlineStr">
        <is>
          <t>нет</t>
        </is>
      </c>
      <c r="H1261">
        <f>VLOOKUP(C1261,Автомобили!$A$2:$G$1000,3,0)</f>
        <v/>
      </c>
      <c r="I1261">
        <f>VLOOKUP(D1261,Клиенты!$A$2:$D$1000,2,0)</f>
        <v/>
      </c>
      <c r="J1261">
        <f>IF(AND(H1261="Kaptur",I1261="Окраинов Л.Г.",YEAR(B1261)=2020),E1261,0)</f>
        <v/>
      </c>
    </row>
    <row r="1262">
      <c r="A1262" s="6" t="n">
        <v>1261</v>
      </c>
      <c r="B1262" s="13" t="n">
        <v>44146</v>
      </c>
      <c r="C1262" s="6" t="inlineStr">
        <is>
          <t>A21</t>
        </is>
      </c>
      <c r="D1262" s="6" t="n">
        <v>4</v>
      </c>
      <c r="E1262" s="15" t="n">
        <v>296</v>
      </c>
      <c r="F1262" s="5" t="inlineStr">
        <is>
          <t>нет</t>
        </is>
      </c>
      <c r="H1262">
        <f>VLOOKUP(C1262,Автомобили!$A$2:$G$1000,3,0)</f>
        <v/>
      </c>
      <c r="I1262">
        <f>VLOOKUP(D1262,Клиенты!$A$2:$D$1000,2,0)</f>
        <v/>
      </c>
      <c r="J1262">
        <f>IF(AND(H1262="Kaptur",I1262="Окраинов Л.Г.",YEAR(B1262)=2020),E1262,0)</f>
        <v/>
      </c>
    </row>
    <row r="1263">
      <c r="A1263" s="6" t="n">
        <v>1262</v>
      </c>
      <c r="B1263" s="13" t="n">
        <v>44146</v>
      </c>
      <c r="C1263" s="6" t="inlineStr">
        <is>
          <t>A33</t>
        </is>
      </c>
      <c r="D1263" s="6" t="n">
        <v>13</v>
      </c>
      <c r="E1263" s="15" t="n">
        <v>343</v>
      </c>
      <c r="F1263" s="5" t="inlineStr">
        <is>
          <t>нет</t>
        </is>
      </c>
      <c r="H1263">
        <f>VLOOKUP(C1263,Автомобили!$A$2:$G$1000,3,0)</f>
        <v/>
      </c>
      <c r="I1263">
        <f>VLOOKUP(D1263,Клиенты!$A$2:$D$1000,2,0)</f>
        <v/>
      </c>
      <c r="J1263">
        <f>IF(AND(H1263="Kaptur",I1263="Окраинов Л.Г.",YEAR(B1263)=2020),E1263,0)</f>
        <v/>
      </c>
    </row>
    <row r="1264">
      <c r="A1264" s="6" t="n">
        <v>1263</v>
      </c>
      <c r="B1264" s="13" t="n">
        <v>44146</v>
      </c>
      <c r="C1264" s="6" t="inlineStr">
        <is>
          <t>A60</t>
        </is>
      </c>
      <c r="D1264" s="6" t="n">
        <v>3</v>
      </c>
      <c r="E1264" s="15" t="n">
        <v>144</v>
      </c>
      <c r="F1264" s="5" t="inlineStr">
        <is>
          <t>нет</t>
        </is>
      </c>
      <c r="H1264">
        <f>VLOOKUP(C1264,Автомобили!$A$2:$G$1000,3,0)</f>
        <v/>
      </c>
      <c r="I1264">
        <f>VLOOKUP(D1264,Клиенты!$A$2:$D$1000,2,0)</f>
        <v/>
      </c>
      <c r="J1264">
        <f>IF(AND(H1264="Kaptur",I1264="Окраинов Л.Г.",YEAR(B1264)=2020),E1264,0)</f>
        <v/>
      </c>
    </row>
    <row r="1265">
      <c r="A1265" s="6" t="n">
        <v>1264</v>
      </c>
      <c r="B1265" s="13" t="n">
        <v>44146</v>
      </c>
      <c r="C1265" s="6" t="inlineStr">
        <is>
          <t>A56</t>
        </is>
      </c>
      <c r="D1265" s="6" t="n">
        <v>1</v>
      </c>
      <c r="E1265" s="15" t="n">
        <v>426</v>
      </c>
      <c r="F1265" s="5" t="inlineStr">
        <is>
          <t>нет</t>
        </is>
      </c>
      <c r="H1265">
        <f>VLOOKUP(C1265,Автомобили!$A$2:$G$1000,3,0)</f>
        <v/>
      </c>
      <c r="I1265">
        <f>VLOOKUP(D1265,Клиенты!$A$2:$D$1000,2,0)</f>
        <v/>
      </c>
      <c r="J1265">
        <f>IF(AND(H1265="Kaptur",I1265="Окраинов Л.Г.",YEAR(B1265)=2020),E1265,0)</f>
        <v/>
      </c>
    </row>
    <row r="1266">
      <c r="A1266" s="6" t="n">
        <v>1265</v>
      </c>
      <c r="B1266" s="13" t="n">
        <v>44147</v>
      </c>
      <c r="C1266" s="6" t="inlineStr">
        <is>
          <t>A2</t>
        </is>
      </c>
      <c r="D1266" s="6" t="n">
        <v>5</v>
      </c>
      <c r="E1266" s="15" t="n">
        <v>114</v>
      </c>
      <c r="F1266" s="5" t="inlineStr">
        <is>
          <t>нет</t>
        </is>
      </c>
      <c r="H1266">
        <f>VLOOKUP(C1266,Автомобили!$A$2:$G$1000,3,0)</f>
        <v/>
      </c>
      <c r="I1266">
        <f>VLOOKUP(D1266,Клиенты!$A$2:$D$1000,2,0)</f>
        <v/>
      </c>
      <c r="J1266">
        <f>IF(AND(H1266="Kaptur",I1266="Окраинов Л.Г.",YEAR(B1266)=2020),E1266,0)</f>
        <v/>
      </c>
    </row>
    <row r="1267">
      <c r="A1267" s="6" t="n">
        <v>1266</v>
      </c>
      <c r="B1267" s="13" t="n">
        <v>44147</v>
      </c>
      <c r="C1267" s="6" t="inlineStr">
        <is>
          <t>A21</t>
        </is>
      </c>
      <c r="D1267" s="6" t="n">
        <v>6</v>
      </c>
      <c r="E1267" s="15" t="n">
        <v>238</v>
      </c>
      <c r="F1267" s="5" t="inlineStr">
        <is>
          <t>нет</t>
        </is>
      </c>
      <c r="H1267">
        <f>VLOOKUP(C1267,Автомобили!$A$2:$G$1000,3,0)</f>
        <v/>
      </c>
      <c r="I1267">
        <f>VLOOKUP(D1267,Клиенты!$A$2:$D$1000,2,0)</f>
        <v/>
      </c>
      <c r="J1267">
        <f>IF(AND(H1267="Kaptur",I1267="Окраинов Л.Г.",YEAR(B1267)=2020),E1267,0)</f>
        <v/>
      </c>
    </row>
    <row r="1268">
      <c r="A1268" s="6" t="n">
        <v>1267</v>
      </c>
      <c r="B1268" s="13" t="n">
        <v>44147</v>
      </c>
      <c r="C1268" s="6" t="inlineStr">
        <is>
          <t>A40</t>
        </is>
      </c>
      <c r="D1268" s="6" t="n">
        <v>9</v>
      </c>
      <c r="E1268" s="15" t="n">
        <v>193</v>
      </c>
      <c r="F1268" s="5" t="inlineStr">
        <is>
          <t>нет</t>
        </is>
      </c>
      <c r="H1268">
        <f>VLOOKUP(C1268,Автомобили!$A$2:$G$1000,3,0)</f>
        <v/>
      </c>
      <c r="I1268">
        <f>VLOOKUP(D1268,Клиенты!$A$2:$D$1000,2,0)</f>
        <v/>
      </c>
      <c r="J1268">
        <f>IF(AND(H1268="Kaptur",I1268="Окраинов Л.Г.",YEAR(B1268)=2020),E1268,0)</f>
        <v/>
      </c>
    </row>
    <row r="1269">
      <c r="A1269" s="6" t="n">
        <v>1268</v>
      </c>
      <c r="B1269" s="13" t="n">
        <v>44147</v>
      </c>
      <c r="C1269" s="6" t="inlineStr">
        <is>
          <t>A36</t>
        </is>
      </c>
      <c r="D1269" s="6" t="n">
        <v>10</v>
      </c>
      <c r="E1269" s="15" t="n">
        <v>136</v>
      </c>
      <c r="F1269" s="5" t="inlineStr">
        <is>
          <t>нет</t>
        </is>
      </c>
      <c r="H1269">
        <f>VLOOKUP(C1269,Автомобили!$A$2:$G$1000,3,0)</f>
        <v/>
      </c>
      <c r="I1269">
        <f>VLOOKUP(D1269,Клиенты!$A$2:$D$1000,2,0)</f>
        <v/>
      </c>
      <c r="J1269">
        <f>IF(AND(H1269="Kaptur",I1269="Окраинов Л.Г.",YEAR(B1269)=2020),E1269,0)</f>
        <v/>
      </c>
    </row>
    <row r="1270">
      <c r="A1270" s="6" t="n">
        <v>1269</v>
      </c>
      <c r="B1270" s="13" t="n">
        <v>44148</v>
      </c>
      <c r="C1270" s="6" t="inlineStr">
        <is>
          <t>A20</t>
        </is>
      </c>
      <c r="D1270" s="6" t="n">
        <v>11</v>
      </c>
      <c r="E1270" s="15" t="n">
        <v>156</v>
      </c>
      <c r="F1270" s="5" t="inlineStr">
        <is>
          <t>нет</t>
        </is>
      </c>
      <c r="H1270">
        <f>VLOOKUP(C1270,Автомобили!$A$2:$G$1000,3,0)</f>
        <v/>
      </c>
      <c r="I1270">
        <f>VLOOKUP(D1270,Клиенты!$A$2:$D$1000,2,0)</f>
        <v/>
      </c>
      <c r="J1270">
        <f>IF(AND(H1270="Kaptur",I1270="Окраинов Л.Г.",YEAR(B1270)=2020),E1270,0)</f>
        <v/>
      </c>
    </row>
    <row r="1271">
      <c r="A1271" s="6" t="n">
        <v>1270</v>
      </c>
      <c r="B1271" s="13" t="n">
        <v>44148</v>
      </c>
      <c r="C1271" s="6" t="inlineStr">
        <is>
          <t>A14</t>
        </is>
      </c>
      <c r="D1271" s="6" t="n">
        <v>15</v>
      </c>
      <c r="E1271" s="15" t="n">
        <v>261</v>
      </c>
      <c r="F1271" s="5" t="inlineStr">
        <is>
          <t>нет</t>
        </is>
      </c>
      <c r="H1271">
        <f>VLOOKUP(C1271,Автомобили!$A$2:$G$1000,3,0)</f>
        <v/>
      </c>
      <c r="I1271">
        <f>VLOOKUP(D1271,Клиенты!$A$2:$D$1000,2,0)</f>
        <v/>
      </c>
      <c r="J1271">
        <f>IF(AND(H1271="Kaptur",I1271="Окраинов Л.Г.",YEAR(B1271)=2020),E1271,0)</f>
        <v/>
      </c>
    </row>
    <row r="1272">
      <c r="A1272" s="6" t="n">
        <v>1271</v>
      </c>
      <c r="B1272" s="13" t="n">
        <v>44148</v>
      </c>
      <c r="C1272" s="6" t="inlineStr">
        <is>
          <t>A38</t>
        </is>
      </c>
      <c r="D1272" s="6" t="n">
        <v>4</v>
      </c>
      <c r="E1272" s="15" t="n">
        <v>405</v>
      </c>
      <c r="F1272" s="5" t="inlineStr">
        <is>
          <t>нет</t>
        </is>
      </c>
      <c r="H1272">
        <f>VLOOKUP(C1272,Автомобили!$A$2:$G$1000,3,0)</f>
        <v/>
      </c>
      <c r="I1272">
        <f>VLOOKUP(D1272,Клиенты!$A$2:$D$1000,2,0)</f>
        <v/>
      </c>
      <c r="J1272">
        <f>IF(AND(H1272="Kaptur",I1272="Окраинов Л.Г.",YEAR(B1272)=2020),E1272,0)</f>
        <v/>
      </c>
    </row>
    <row r="1273">
      <c r="A1273" s="6" t="n">
        <v>1272</v>
      </c>
      <c r="B1273" s="13" t="n">
        <v>44148</v>
      </c>
      <c r="C1273" s="6" t="inlineStr">
        <is>
          <t>A12</t>
        </is>
      </c>
      <c r="D1273" s="6" t="n">
        <v>9</v>
      </c>
      <c r="E1273" s="15" t="n">
        <v>221</v>
      </c>
      <c r="F1273" s="5" t="inlineStr">
        <is>
          <t>нет</t>
        </is>
      </c>
      <c r="H1273">
        <f>VLOOKUP(C1273,Автомобили!$A$2:$G$1000,3,0)</f>
        <v/>
      </c>
      <c r="I1273">
        <f>VLOOKUP(D1273,Клиенты!$A$2:$D$1000,2,0)</f>
        <v/>
      </c>
      <c r="J1273">
        <f>IF(AND(H1273="Kaptur",I1273="Окраинов Л.Г.",YEAR(B1273)=2020),E1273,0)</f>
        <v/>
      </c>
    </row>
    <row r="1274">
      <c r="A1274" s="6" t="n">
        <v>1273</v>
      </c>
      <c r="B1274" s="13" t="n">
        <v>44149</v>
      </c>
      <c r="C1274" s="6" t="inlineStr">
        <is>
          <t>A7</t>
        </is>
      </c>
      <c r="D1274" s="6" t="n">
        <v>15</v>
      </c>
      <c r="E1274" s="15" t="n">
        <v>228</v>
      </c>
      <c r="F1274" s="5" t="inlineStr">
        <is>
          <t>нет</t>
        </is>
      </c>
      <c r="H1274">
        <f>VLOOKUP(C1274,Автомобили!$A$2:$G$1000,3,0)</f>
        <v/>
      </c>
      <c r="I1274">
        <f>VLOOKUP(D1274,Клиенты!$A$2:$D$1000,2,0)</f>
        <v/>
      </c>
      <c r="J1274">
        <f>IF(AND(H1274="Kaptur",I1274="Окраинов Л.Г.",YEAR(B1274)=2020),E1274,0)</f>
        <v/>
      </c>
    </row>
    <row r="1275">
      <c r="A1275" s="6" t="n">
        <v>1274</v>
      </c>
      <c r="B1275" s="13" t="n">
        <v>44149</v>
      </c>
      <c r="C1275" s="6" t="inlineStr">
        <is>
          <t>A63</t>
        </is>
      </c>
      <c r="D1275" s="6" t="n">
        <v>14</v>
      </c>
      <c r="E1275" s="15" t="n">
        <v>300</v>
      </c>
      <c r="F1275" s="5" t="inlineStr">
        <is>
          <t>нет</t>
        </is>
      </c>
      <c r="H1275">
        <f>VLOOKUP(C1275,Автомобили!$A$2:$G$1000,3,0)</f>
        <v/>
      </c>
      <c r="I1275">
        <f>VLOOKUP(D1275,Клиенты!$A$2:$D$1000,2,0)</f>
        <v/>
      </c>
      <c r="J1275">
        <f>IF(AND(H1275="Kaptur",I1275="Окраинов Л.Г.",YEAR(B1275)=2020),E1275,0)</f>
        <v/>
      </c>
    </row>
    <row r="1276">
      <c r="A1276" s="6" t="n">
        <v>1275</v>
      </c>
      <c r="B1276" s="13" t="n">
        <v>44149</v>
      </c>
      <c r="C1276" s="6" t="inlineStr">
        <is>
          <t>A49</t>
        </is>
      </c>
      <c r="D1276" s="6" t="n">
        <v>1</v>
      </c>
      <c r="E1276" s="15" t="n">
        <v>149</v>
      </c>
      <c r="F1276" s="5" t="inlineStr">
        <is>
          <t>нет</t>
        </is>
      </c>
      <c r="H1276">
        <f>VLOOKUP(C1276,Автомобили!$A$2:$G$1000,3,0)</f>
        <v/>
      </c>
      <c r="I1276">
        <f>VLOOKUP(D1276,Клиенты!$A$2:$D$1000,2,0)</f>
        <v/>
      </c>
      <c r="J1276">
        <f>IF(AND(H1276="Kaptur",I1276="Окраинов Л.Г.",YEAR(B1276)=2020),E1276,0)</f>
        <v/>
      </c>
    </row>
    <row r="1277">
      <c r="A1277" s="6" t="n">
        <v>1276</v>
      </c>
      <c r="B1277" s="13" t="n">
        <v>44149</v>
      </c>
      <c r="C1277" s="6" t="inlineStr">
        <is>
          <t>A18</t>
        </is>
      </c>
      <c r="D1277" s="6" t="n">
        <v>6</v>
      </c>
      <c r="E1277" s="15" t="n">
        <v>235</v>
      </c>
      <c r="F1277" s="5" t="inlineStr">
        <is>
          <t>нет</t>
        </is>
      </c>
      <c r="H1277">
        <f>VLOOKUP(C1277,Автомобили!$A$2:$G$1000,3,0)</f>
        <v/>
      </c>
      <c r="I1277">
        <f>VLOOKUP(D1277,Клиенты!$A$2:$D$1000,2,0)</f>
        <v/>
      </c>
      <c r="J1277">
        <f>IF(AND(H1277="Kaptur",I1277="Окраинов Л.Г.",YEAR(B1277)=2020),E1277,0)</f>
        <v/>
      </c>
    </row>
    <row r="1278">
      <c r="A1278" s="6" t="n">
        <v>1277</v>
      </c>
      <c r="B1278" s="13" t="n">
        <v>44150</v>
      </c>
      <c r="C1278" s="6" t="inlineStr">
        <is>
          <t>A5</t>
        </is>
      </c>
      <c r="D1278" s="6" t="n">
        <v>5</v>
      </c>
      <c r="E1278" s="15" t="n">
        <v>199</v>
      </c>
      <c r="F1278" s="5" t="inlineStr">
        <is>
          <t>нет</t>
        </is>
      </c>
      <c r="H1278">
        <f>VLOOKUP(C1278,Автомобили!$A$2:$G$1000,3,0)</f>
        <v/>
      </c>
      <c r="I1278">
        <f>VLOOKUP(D1278,Клиенты!$A$2:$D$1000,2,0)</f>
        <v/>
      </c>
      <c r="J1278">
        <f>IF(AND(H1278="Kaptur",I1278="Окраинов Л.Г.",YEAR(B1278)=2020),E1278,0)</f>
        <v/>
      </c>
    </row>
    <row r="1279">
      <c r="A1279" s="6" t="n">
        <v>1278</v>
      </c>
      <c r="B1279" s="13" t="n">
        <v>44150</v>
      </c>
      <c r="C1279" s="6" t="inlineStr">
        <is>
          <t>A25</t>
        </is>
      </c>
      <c r="D1279" s="6" t="n">
        <v>8</v>
      </c>
      <c r="E1279" s="15" t="n">
        <v>160</v>
      </c>
      <c r="F1279" s="5" t="inlineStr">
        <is>
          <t>нет</t>
        </is>
      </c>
      <c r="H1279">
        <f>VLOOKUP(C1279,Автомобили!$A$2:$G$1000,3,0)</f>
        <v/>
      </c>
      <c r="I1279">
        <f>VLOOKUP(D1279,Клиенты!$A$2:$D$1000,2,0)</f>
        <v/>
      </c>
      <c r="J1279">
        <f>IF(AND(H1279="Kaptur",I1279="Окраинов Л.Г.",YEAR(B1279)=2020),E1279,0)</f>
        <v/>
      </c>
    </row>
    <row r="1280">
      <c r="A1280" s="6" t="n">
        <v>1279</v>
      </c>
      <c r="B1280" s="13" t="n">
        <v>44150</v>
      </c>
      <c r="C1280" s="6" t="inlineStr">
        <is>
          <t>A34</t>
        </is>
      </c>
      <c r="D1280" s="6" t="n">
        <v>12</v>
      </c>
      <c r="E1280" s="15" t="n">
        <v>264</v>
      </c>
      <c r="F1280" s="5" t="inlineStr">
        <is>
          <t>нет</t>
        </is>
      </c>
      <c r="H1280">
        <f>VLOOKUP(C1280,Автомобили!$A$2:$G$1000,3,0)</f>
        <v/>
      </c>
      <c r="I1280">
        <f>VLOOKUP(D1280,Клиенты!$A$2:$D$1000,2,0)</f>
        <v/>
      </c>
      <c r="J1280">
        <f>IF(AND(H1280="Kaptur",I1280="Окраинов Л.Г.",YEAR(B1280)=2020),E1280,0)</f>
        <v/>
      </c>
    </row>
    <row r="1281">
      <c r="A1281" s="6" t="n">
        <v>1280</v>
      </c>
      <c r="B1281" s="13" t="n">
        <v>44150</v>
      </c>
      <c r="C1281" s="6" t="inlineStr">
        <is>
          <t>A34</t>
        </is>
      </c>
      <c r="D1281" s="6" t="n">
        <v>9</v>
      </c>
      <c r="E1281" s="15" t="n">
        <v>87</v>
      </c>
      <c r="F1281" s="5" t="inlineStr">
        <is>
          <t>нет</t>
        </is>
      </c>
      <c r="H1281">
        <f>VLOOKUP(C1281,Автомобили!$A$2:$G$1000,3,0)</f>
        <v/>
      </c>
      <c r="I1281">
        <f>VLOOKUP(D1281,Клиенты!$A$2:$D$1000,2,0)</f>
        <v/>
      </c>
      <c r="J1281">
        <f>IF(AND(H1281="Kaptur",I1281="Окраинов Л.Г.",YEAR(B1281)=2020),E1281,0)</f>
        <v/>
      </c>
    </row>
    <row r="1282">
      <c r="A1282" s="6" t="n">
        <v>1281</v>
      </c>
      <c r="B1282" s="13" t="n">
        <v>44151</v>
      </c>
      <c r="C1282" s="6" t="inlineStr">
        <is>
          <t>A13</t>
        </is>
      </c>
      <c r="D1282" s="6" t="n">
        <v>12</v>
      </c>
      <c r="E1282" s="15" t="n">
        <v>300</v>
      </c>
      <c r="F1282" s="5" t="inlineStr">
        <is>
          <t>нет</t>
        </is>
      </c>
      <c r="H1282">
        <f>VLOOKUP(C1282,Автомобили!$A$2:$G$1000,3,0)</f>
        <v/>
      </c>
      <c r="I1282">
        <f>VLOOKUP(D1282,Клиенты!$A$2:$D$1000,2,0)</f>
        <v/>
      </c>
      <c r="J1282">
        <f>IF(AND(H1282="Kaptur",I1282="Окраинов Л.Г.",YEAR(B1282)=2020),E1282,0)</f>
        <v/>
      </c>
    </row>
    <row r="1283">
      <c r="A1283" s="6" t="n">
        <v>1282</v>
      </c>
      <c r="B1283" s="13" t="n">
        <v>44151</v>
      </c>
      <c r="C1283" s="6" t="inlineStr">
        <is>
          <t>A12</t>
        </is>
      </c>
      <c r="D1283" s="6" t="n">
        <v>11</v>
      </c>
      <c r="E1283" s="15" t="n">
        <v>401</v>
      </c>
      <c r="F1283" s="5" t="inlineStr">
        <is>
          <t>нет</t>
        </is>
      </c>
      <c r="H1283">
        <f>VLOOKUP(C1283,Автомобили!$A$2:$G$1000,3,0)</f>
        <v/>
      </c>
      <c r="I1283">
        <f>VLOOKUP(D1283,Клиенты!$A$2:$D$1000,2,0)</f>
        <v/>
      </c>
      <c r="J1283">
        <f>IF(AND(H1283="Kaptur",I1283="Окраинов Л.Г.",YEAR(B1283)=2020),E1283,0)</f>
        <v/>
      </c>
    </row>
    <row r="1284">
      <c r="A1284" s="6" t="n">
        <v>1283</v>
      </c>
      <c r="B1284" s="13" t="n">
        <v>44151</v>
      </c>
      <c r="C1284" s="6" t="inlineStr">
        <is>
          <t>A41</t>
        </is>
      </c>
      <c r="D1284" s="6" t="n">
        <v>2</v>
      </c>
      <c r="E1284" s="15" t="n">
        <v>92</v>
      </c>
      <c r="F1284" s="5" t="inlineStr">
        <is>
          <t>нет</t>
        </is>
      </c>
      <c r="H1284">
        <f>VLOOKUP(C1284,Автомобили!$A$2:$G$1000,3,0)</f>
        <v/>
      </c>
      <c r="I1284">
        <f>VLOOKUP(D1284,Клиенты!$A$2:$D$1000,2,0)</f>
        <v/>
      </c>
      <c r="J1284">
        <f>IF(AND(H1284="Kaptur",I1284="Окраинов Л.Г.",YEAR(B1284)=2020),E1284,0)</f>
        <v/>
      </c>
    </row>
    <row r="1285">
      <c r="A1285" s="6" t="n">
        <v>1284</v>
      </c>
      <c r="B1285" s="13" t="n">
        <v>44151</v>
      </c>
      <c r="C1285" s="6" t="inlineStr">
        <is>
          <t>A8</t>
        </is>
      </c>
      <c r="D1285" s="6" t="n">
        <v>1</v>
      </c>
      <c r="E1285" s="15" t="n">
        <v>230</v>
      </c>
      <c r="F1285" s="5" t="inlineStr">
        <is>
          <t>нет</t>
        </is>
      </c>
      <c r="H1285">
        <f>VLOOKUP(C1285,Автомобили!$A$2:$G$1000,3,0)</f>
        <v/>
      </c>
      <c r="I1285">
        <f>VLOOKUP(D1285,Клиенты!$A$2:$D$1000,2,0)</f>
        <v/>
      </c>
      <c r="J1285">
        <f>IF(AND(H1285="Kaptur",I1285="Окраинов Л.Г.",YEAR(B1285)=2020),E1285,0)</f>
        <v/>
      </c>
    </row>
    <row r="1286">
      <c r="A1286" s="6" t="n">
        <v>1285</v>
      </c>
      <c r="B1286" s="13" t="n">
        <v>44152</v>
      </c>
      <c r="C1286" s="6" t="inlineStr">
        <is>
          <t>A60</t>
        </is>
      </c>
      <c r="D1286" s="6" t="n">
        <v>2</v>
      </c>
      <c r="E1286" s="15" t="n">
        <v>442</v>
      </c>
      <c r="F1286" s="5" t="inlineStr">
        <is>
          <t>нет</t>
        </is>
      </c>
      <c r="H1286">
        <f>VLOOKUP(C1286,Автомобили!$A$2:$G$1000,3,0)</f>
        <v/>
      </c>
      <c r="I1286">
        <f>VLOOKUP(D1286,Клиенты!$A$2:$D$1000,2,0)</f>
        <v/>
      </c>
      <c r="J1286">
        <f>IF(AND(H1286="Kaptur",I1286="Окраинов Л.Г.",YEAR(B1286)=2020),E1286,0)</f>
        <v/>
      </c>
    </row>
    <row r="1287">
      <c r="A1287" s="6" t="n">
        <v>1286</v>
      </c>
      <c r="B1287" s="13" t="n">
        <v>44152</v>
      </c>
      <c r="C1287" s="6" t="inlineStr">
        <is>
          <t>A47</t>
        </is>
      </c>
      <c r="D1287" s="6" t="n">
        <v>6</v>
      </c>
      <c r="E1287" s="15" t="n">
        <v>131</v>
      </c>
      <c r="F1287" s="5" t="inlineStr">
        <is>
          <t>нет</t>
        </is>
      </c>
      <c r="H1287">
        <f>VLOOKUP(C1287,Автомобили!$A$2:$G$1000,3,0)</f>
        <v/>
      </c>
      <c r="I1287">
        <f>VLOOKUP(D1287,Клиенты!$A$2:$D$1000,2,0)</f>
        <v/>
      </c>
      <c r="J1287">
        <f>IF(AND(H1287="Kaptur",I1287="Окраинов Л.Г.",YEAR(B1287)=2020),E1287,0)</f>
        <v/>
      </c>
    </row>
    <row r="1288">
      <c r="A1288" s="6" t="n">
        <v>1287</v>
      </c>
      <c r="B1288" s="13" t="n">
        <v>44152</v>
      </c>
      <c r="C1288" s="6" t="inlineStr">
        <is>
          <t>A44</t>
        </is>
      </c>
      <c r="D1288" s="6" t="n">
        <v>9</v>
      </c>
      <c r="E1288" s="15" t="n">
        <v>87</v>
      </c>
      <c r="F1288" s="5" t="inlineStr">
        <is>
          <t>нет</t>
        </is>
      </c>
      <c r="H1288">
        <f>VLOOKUP(C1288,Автомобили!$A$2:$G$1000,3,0)</f>
        <v/>
      </c>
      <c r="I1288">
        <f>VLOOKUP(D1288,Клиенты!$A$2:$D$1000,2,0)</f>
        <v/>
      </c>
      <c r="J1288">
        <f>IF(AND(H1288="Kaptur",I1288="Окраинов Л.Г.",YEAR(B1288)=2020),E1288,0)</f>
        <v/>
      </c>
    </row>
    <row r="1289">
      <c r="A1289" s="6" t="n">
        <v>1288</v>
      </c>
      <c r="B1289" s="13" t="n">
        <v>44152</v>
      </c>
      <c r="C1289" s="6" t="inlineStr">
        <is>
          <t>A30</t>
        </is>
      </c>
      <c r="D1289" s="6" t="n">
        <v>15</v>
      </c>
      <c r="E1289" s="15" t="n">
        <v>206</v>
      </c>
      <c r="F1289" s="5" t="inlineStr">
        <is>
          <t>нет</t>
        </is>
      </c>
      <c r="H1289">
        <f>VLOOKUP(C1289,Автомобили!$A$2:$G$1000,3,0)</f>
        <v/>
      </c>
      <c r="I1289">
        <f>VLOOKUP(D1289,Клиенты!$A$2:$D$1000,2,0)</f>
        <v/>
      </c>
      <c r="J1289">
        <f>IF(AND(H1289="Kaptur",I1289="Окраинов Л.Г.",YEAR(B1289)=2020),E1289,0)</f>
        <v/>
      </c>
    </row>
    <row r="1290">
      <c r="A1290" s="6" t="n">
        <v>1289</v>
      </c>
      <c r="B1290" s="13" t="n">
        <v>44153</v>
      </c>
      <c r="C1290" s="6" t="inlineStr">
        <is>
          <t>A4</t>
        </is>
      </c>
      <c r="D1290" s="6" t="n">
        <v>13</v>
      </c>
      <c r="E1290" s="15" t="n">
        <v>89</v>
      </c>
      <c r="F1290" s="5" t="inlineStr">
        <is>
          <t>нет</t>
        </is>
      </c>
      <c r="H1290">
        <f>VLOOKUP(C1290,Автомобили!$A$2:$G$1000,3,0)</f>
        <v/>
      </c>
      <c r="I1290">
        <f>VLOOKUP(D1290,Клиенты!$A$2:$D$1000,2,0)</f>
        <v/>
      </c>
      <c r="J1290">
        <f>IF(AND(H1290="Kaptur",I1290="Окраинов Л.Г.",YEAR(B1290)=2020),E1290,0)</f>
        <v/>
      </c>
    </row>
    <row r="1291">
      <c r="A1291" s="6" t="n">
        <v>1290</v>
      </c>
      <c r="B1291" s="13" t="n">
        <v>44153</v>
      </c>
      <c r="C1291" s="6" t="inlineStr">
        <is>
          <t>A11</t>
        </is>
      </c>
      <c r="D1291" s="6" t="n">
        <v>8</v>
      </c>
      <c r="E1291" s="15" t="n">
        <v>166</v>
      </c>
      <c r="F1291" s="5" t="inlineStr">
        <is>
          <t>нет</t>
        </is>
      </c>
      <c r="H1291">
        <f>VLOOKUP(C1291,Автомобили!$A$2:$G$1000,3,0)</f>
        <v/>
      </c>
      <c r="I1291">
        <f>VLOOKUP(D1291,Клиенты!$A$2:$D$1000,2,0)</f>
        <v/>
      </c>
      <c r="J1291">
        <f>IF(AND(H1291="Kaptur",I1291="Окраинов Л.Г.",YEAR(B1291)=2020),E1291,0)</f>
        <v/>
      </c>
    </row>
    <row r="1292">
      <c r="A1292" s="6" t="n">
        <v>1291</v>
      </c>
      <c r="B1292" s="13" t="n">
        <v>44153</v>
      </c>
      <c r="C1292" s="6" t="inlineStr">
        <is>
          <t>A16</t>
        </is>
      </c>
      <c r="D1292" s="6" t="n">
        <v>8</v>
      </c>
      <c r="E1292" s="15" t="n">
        <v>90</v>
      </c>
      <c r="F1292" s="5" t="inlineStr">
        <is>
          <t>нет</t>
        </is>
      </c>
      <c r="H1292">
        <f>VLOOKUP(C1292,Автомобили!$A$2:$G$1000,3,0)</f>
        <v/>
      </c>
      <c r="I1292">
        <f>VLOOKUP(D1292,Клиенты!$A$2:$D$1000,2,0)</f>
        <v/>
      </c>
      <c r="J1292">
        <f>IF(AND(H1292="Kaptur",I1292="Окраинов Л.Г.",YEAR(B1292)=2020),E1292,0)</f>
        <v/>
      </c>
    </row>
    <row r="1293">
      <c r="A1293" s="6" t="n">
        <v>1292</v>
      </c>
      <c r="B1293" s="13" t="n">
        <v>44153</v>
      </c>
      <c r="C1293" s="6" t="inlineStr">
        <is>
          <t>A47</t>
        </is>
      </c>
      <c r="D1293" s="6" t="n">
        <v>8</v>
      </c>
      <c r="E1293" s="15" t="n">
        <v>155</v>
      </c>
      <c r="F1293" s="5" t="inlineStr">
        <is>
          <t>нет</t>
        </is>
      </c>
      <c r="H1293">
        <f>VLOOKUP(C1293,Автомобили!$A$2:$G$1000,3,0)</f>
        <v/>
      </c>
      <c r="I1293">
        <f>VLOOKUP(D1293,Клиенты!$A$2:$D$1000,2,0)</f>
        <v/>
      </c>
      <c r="J1293">
        <f>IF(AND(H1293="Kaptur",I1293="Окраинов Л.Г.",YEAR(B1293)=2020),E1293,0)</f>
        <v/>
      </c>
    </row>
    <row r="1294">
      <c r="A1294" s="6" t="n">
        <v>1293</v>
      </c>
      <c r="B1294" s="13" t="n">
        <v>44154</v>
      </c>
      <c r="C1294" s="6" t="inlineStr">
        <is>
          <t>A51</t>
        </is>
      </c>
      <c r="D1294" s="6" t="n">
        <v>7</v>
      </c>
      <c r="E1294" s="15" t="n">
        <v>390</v>
      </c>
      <c r="F1294" s="5" t="inlineStr">
        <is>
          <t>нет</t>
        </is>
      </c>
      <c r="H1294">
        <f>VLOOKUP(C1294,Автомобили!$A$2:$G$1000,3,0)</f>
        <v/>
      </c>
      <c r="I1294">
        <f>VLOOKUP(D1294,Клиенты!$A$2:$D$1000,2,0)</f>
        <v/>
      </c>
      <c r="J1294">
        <f>IF(AND(H1294="Kaptur",I1294="Окраинов Л.Г.",YEAR(B1294)=2020),E1294,0)</f>
        <v/>
      </c>
    </row>
    <row r="1295">
      <c r="A1295" s="6" t="n">
        <v>1294</v>
      </c>
      <c r="B1295" s="13" t="n">
        <v>44154</v>
      </c>
      <c r="C1295" s="6" t="inlineStr">
        <is>
          <t>A21</t>
        </is>
      </c>
      <c r="D1295" s="6" t="n">
        <v>11</v>
      </c>
      <c r="E1295" s="15" t="n">
        <v>412</v>
      </c>
      <c r="F1295" s="5" t="inlineStr">
        <is>
          <t>нет</t>
        </is>
      </c>
      <c r="H1295">
        <f>VLOOKUP(C1295,Автомобили!$A$2:$G$1000,3,0)</f>
        <v/>
      </c>
      <c r="I1295">
        <f>VLOOKUP(D1295,Клиенты!$A$2:$D$1000,2,0)</f>
        <v/>
      </c>
      <c r="J1295">
        <f>IF(AND(H1295="Kaptur",I1295="Окраинов Л.Г.",YEAR(B1295)=2020),E1295,0)</f>
        <v/>
      </c>
    </row>
    <row r="1296">
      <c r="A1296" s="6" t="n">
        <v>1295</v>
      </c>
      <c r="B1296" s="13" t="n">
        <v>44154</v>
      </c>
      <c r="C1296" s="6" t="inlineStr">
        <is>
          <t>A38</t>
        </is>
      </c>
      <c r="D1296" s="6" t="n">
        <v>1</v>
      </c>
      <c r="E1296" s="15" t="n">
        <v>394</v>
      </c>
      <c r="F1296" s="5" t="inlineStr">
        <is>
          <t>нет</t>
        </is>
      </c>
      <c r="H1296">
        <f>VLOOKUP(C1296,Автомобили!$A$2:$G$1000,3,0)</f>
        <v/>
      </c>
      <c r="I1296">
        <f>VLOOKUP(D1296,Клиенты!$A$2:$D$1000,2,0)</f>
        <v/>
      </c>
      <c r="J1296">
        <f>IF(AND(H1296="Kaptur",I1296="Окраинов Л.Г.",YEAR(B1296)=2020),E1296,0)</f>
        <v/>
      </c>
    </row>
    <row r="1297">
      <c r="A1297" s="6" t="n">
        <v>1296</v>
      </c>
      <c r="B1297" s="13" t="n">
        <v>44154</v>
      </c>
      <c r="C1297" s="6" t="inlineStr">
        <is>
          <t>A18</t>
        </is>
      </c>
      <c r="D1297" s="6" t="n">
        <v>9</v>
      </c>
      <c r="E1297" s="15" t="n">
        <v>266</v>
      </c>
      <c r="F1297" s="5" t="inlineStr">
        <is>
          <t>нет</t>
        </is>
      </c>
      <c r="H1297">
        <f>VLOOKUP(C1297,Автомобили!$A$2:$G$1000,3,0)</f>
        <v/>
      </c>
      <c r="I1297">
        <f>VLOOKUP(D1297,Клиенты!$A$2:$D$1000,2,0)</f>
        <v/>
      </c>
      <c r="J1297">
        <f>IF(AND(H1297="Kaptur",I1297="Окраинов Л.Г.",YEAR(B1297)=2020),E1297,0)</f>
        <v/>
      </c>
    </row>
    <row r="1298">
      <c r="A1298" s="6" t="n">
        <v>1297</v>
      </c>
      <c r="B1298" s="13" t="n">
        <v>44155</v>
      </c>
      <c r="C1298" s="6" t="inlineStr">
        <is>
          <t>A1</t>
        </is>
      </c>
      <c r="D1298" s="6" t="n">
        <v>12</v>
      </c>
      <c r="E1298" s="15" t="n">
        <v>295</v>
      </c>
      <c r="F1298" s="5" t="inlineStr">
        <is>
          <t>нет</t>
        </is>
      </c>
      <c r="H1298">
        <f>VLOOKUP(C1298,Автомобили!$A$2:$G$1000,3,0)</f>
        <v/>
      </c>
      <c r="I1298">
        <f>VLOOKUP(D1298,Клиенты!$A$2:$D$1000,2,0)</f>
        <v/>
      </c>
      <c r="J1298">
        <f>IF(AND(H1298="Kaptur",I1298="Окраинов Л.Г.",YEAR(B1298)=2020),E1298,0)</f>
        <v/>
      </c>
    </row>
    <row r="1299">
      <c r="A1299" s="6" t="n">
        <v>1298</v>
      </c>
      <c r="B1299" s="13" t="n">
        <v>44155</v>
      </c>
      <c r="C1299" s="6" t="inlineStr">
        <is>
          <t>A20</t>
        </is>
      </c>
      <c r="D1299" s="6" t="n">
        <v>4</v>
      </c>
      <c r="E1299" s="15" t="n">
        <v>170</v>
      </c>
      <c r="F1299" s="5" t="inlineStr">
        <is>
          <t>нет</t>
        </is>
      </c>
      <c r="H1299">
        <f>VLOOKUP(C1299,Автомобили!$A$2:$G$1000,3,0)</f>
        <v/>
      </c>
      <c r="I1299">
        <f>VLOOKUP(D1299,Клиенты!$A$2:$D$1000,2,0)</f>
        <v/>
      </c>
      <c r="J1299">
        <f>IF(AND(H1299="Kaptur",I1299="Окраинов Л.Г.",YEAR(B1299)=2020),E1299,0)</f>
        <v/>
      </c>
    </row>
    <row r="1300">
      <c r="A1300" s="6" t="n">
        <v>1299</v>
      </c>
      <c r="B1300" s="13" t="n">
        <v>44155</v>
      </c>
      <c r="C1300" s="6" t="inlineStr">
        <is>
          <t>A11</t>
        </is>
      </c>
      <c r="D1300" s="6" t="n">
        <v>4</v>
      </c>
      <c r="E1300" s="15" t="n">
        <v>125</v>
      </c>
      <c r="F1300" s="5" t="inlineStr">
        <is>
          <t>нет</t>
        </is>
      </c>
      <c r="H1300">
        <f>VLOOKUP(C1300,Автомобили!$A$2:$G$1000,3,0)</f>
        <v/>
      </c>
      <c r="I1300">
        <f>VLOOKUP(D1300,Клиенты!$A$2:$D$1000,2,0)</f>
        <v/>
      </c>
      <c r="J1300">
        <f>IF(AND(H1300="Kaptur",I1300="Окраинов Л.Г.",YEAR(B1300)=2020),E1300,0)</f>
        <v/>
      </c>
    </row>
    <row r="1301">
      <c r="A1301" s="6" t="n">
        <v>1300</v>
      </c>
      <c r="B1301" s="13" t="n">
        <v>44155</v>
      </c>
      <c r="C1301" s="6" t="inlineStr">
        <is>
          <t>A53</t>
        </is>
      </c>
      <c r="D1301" s="6" t="n">
        <v>15</v>
      </c>
      <c r="E1301" s="15" t="n">
        <v>186</v>
      </c>
      <c r="F1301" s="5" t="inlineStr">
        <is>
          <t>нет</t>
        </is>
      </c>
      <c r="H1301">
        <f>VLOOKUP(C1301,Автомобили!$A$2:$G$1000,3,0)</f>
        <v/>
      </c>
      <c r="I1301">
        <f>VLOOKUP(D1301,Клиенты!$A$2:$D$1000,2,0)</f>
        <v/>
      </c>
      <c r="J1301">
        <f>IF(AND(H1301="Kaptur",I1301="Окраинов Л.Г.",YEAR(B1301)=2020),E1301,0)</f>
        <v/>
      </c>
    </row>
    <row r="1302">
      <c r="A1302" s="6" t="n">
        <v>1301</v>
      </c>
      <c r="B1302" s="13" t="n">
        <v>44156</v>
      </c>
      <c r="C1302" s="6" t="inlineStr">
        <is>
          <t>A32</t>
        </is>
      </c>
      <c r="D1302" s="6" t="n">
        <v>13</v>
      </c>
      <c r="E1302" s="15" t="n">
        <v>267</v>
      </c>
      <c r="F1302" s="5" t="inlineStr">
        <is>
          <t>нет</t>
        </is>
      </c>
      <c r="H1302">
        <f>VLOOKUP(C1302,Автомобили!$A$2:$G$1000,3,0)</f>
        <v/>
      </c>
      <c r="I1302">
        <f>VLOOKUP(D1302,Клиенты!$A$2:$D$1000,2,0)</f>
        <v/>
      </c>
      <c r="J1302">
        <f>IF(AND(H1302="Kaptur",I1302="Окраинов Л.Г.",YEAR(B1302)=2020),E1302,0)</f>
        <v/>
      </c>
    </row>
    <row r="1303">
      <c r="A1303" s="6" t="n">
        <v>1302</v>
      </c>
      <c r="B1303" s="13" t="n">
        <v>44156</v>
      </c>
      <c r="C1303" s="6" t="inlineStr">
        <is>
          <t>A24</t>
        </is>
      </c>
      <c r="D1303" s="6" t="n">
        <v>2</v>
      </c>
      <c r="E1303" s="15" t="n">
        <v>307</v>
      </c>
      <c r="F1303" s="5" t="inlineStr">
        <is>
          <t>нет</t>
        </is>
      </c>
      <c r="H1303">
        <f>VLOOKUP(C1303,Автомобили!$A$2:$G$1000,3,0)</f>
        <v/>
      </c>
      <c r="I1303">
        <f>VLOOKUP(D1303,Клиенты!$A$2:$D$1000,2,0)</f>
        <v/>
      </c>
      <c r="J1303">
        <f>IF(AND(H1303="Kaptur",I1303="Окраинов Л.Г.",YEAR(B1303)=2020),E1303,0)</f>
        <v/>
      </c>
    </row>
    <row r="1304">
      <c r="A1304" s="6" t="n">
        <v>1303</v>
      </c>
      <c r="B1304" s="13" t="n">
        <v>44156</v>
      </c>
      <c r="C1304" s="6" t="inlineStr">
        <is>
          <t>A6</t>
        </is>
      </c>
      <c r="D1304" s="6" t="n">
        <v>14</v>
      </c>
      <c r="E1304" s="15" t="n">
        <v>382</v>
      </c>
      <c r="F1304" s="5" t="inlineStr">
        <is>
          <t>нет</t>
        </is>
      </c>
      <c r="H1304">
        <f>VLOOKUP(C1304,Автомобили!$A$2:$G$1000,3,0)</f>
        <v/>
      </c>
      <c r="I1304">
        <f>VLOOKUP(D1304,Клиенты!$A$2:$D$1000,2,0)</f>
        <v/>
      </c>
      <c r="J1304">
        <f>IF(AND(H1304="Kaptur",I1304="Окраинов Л.Г.",YEAR(B1304)=2020),E1304,0)</f>
        <v/>
      </c>
    </row>
    <row r="1305">
      <c r="A1305" s="6" t="n">
        <v>1304</v>
      </c>
      <c r="B1305" s="13" t="n">
        <v>44156</v>
      </c>
      <c r="C1305" s="6" t="inlineStr">
        <is>
          <t>A12</t>
        </is>
      </c>
      <c r="D1305" s="6" t="n">
        <v>7</v>
      </c>
      <c r="E1305" s="15" t="n">
        <v>418</v>
      </c>
      <c r="F1305" s="5" t="inlineStr">
        <is>
          <t>нет</t>
        </is>
      </c>
      <c r="H1305">
        <f>VLOOKUP(C1305,Автомобили!$A$2:$G$1000,3,0)</f>
        <v/>
      </c>
      <c r="I1305">
        <f>VLOOKUP(D1305,Клиенты!$A$2:$D$1000,2,0)</f>
        <v/>
      </c>
      <c r="J1305">
        <f>IF(AND(H1305="Kaptur",I1305="Окраинов Л.Г.",YEAR(B1305)=2020),E1305,0)</f>
        <v/>
      </c>
    </row>
    <row r="1306">
      <c r="A1306" s="6" t="n">
        <v>1305</v>
      </c>
      <c r="B1306" s="13" t="n">
        <v>44157</v>
      </c>
      <c r="C1306" s="6" t="inlineStr">
        <is>
          <t>A47</t>
        </is>
      </c>
      <c r="D1306" s="6" t="n">
        <v>11</v>
      </c>
      <c r="E1306" s="15" t="n">
        <v>85</v>
      </c>
      <c r="F1306" s="5" t="inlineStr">
        <is>
          <t>нет</t>
        </is>
      </c>
      <c r="H1306">
        <f>VLOOKUP(C1306,Автомобили!$A$2:$G$1000,3,0)</f>
        <v/>
      </c>
      <c r="I1306">
        <f>VLOOKUP(D1306,Клиенты!$A$2:$D$1000,2,0)</f>
        <v/>
      </c>
      <c r="J1306">
        <f>IF(AND(H1306="Kaptur",I1306="Окраинов Л.Г.",YEAR(B1306)=2020),E1306,0)</f>
        <v/>
      </c>
    </row>
    <row r="1307">
      <c r="A1307" s="6" t="n">
        <v>1306</v>
      </c>
      <c r="B1307" s="13" t="n">
        <v>44157</v>
      </c>
      <c r="C1307" s="6" t="inlineStr">
        <is>
          <t>A58</t>
        </is>
      </c>
      <c r="D1307" s="6" t="n">
        <v>15</v>
      </c>
      <c r="E1307" s="15" t="n">
        <v>322</v>
      </c>
      <c r="F1307" s="5" t="inlineStr">
        <is>
          <t>нет</t>
        </is>
      </c>
      <c r="H1307">
        <f>VLOOKUP(C1307,Автомобили!$A$2:$G$1000,3,0)</f>
        <v/>
      </c>
      <c r="I1307">
        <f>VLOOKUP(D1307,Клиенты!$A$2:$D$1000,2,0)</f>
        <v/>
      </c>
      <c r="J1307">
        <f>IF(AND(H1307="Kaptur",I1307="Окраинов Л.Г.",YEAR(B1307)=2020),E1307,0)</f>
        <v/>
      </c>
    </row>
    <row r="1308">
      <c r="A1308" s="6" t="n">
        <v>1307</v>
      </c>
      <c r="B1308" s="13" t="n">
        <v>44157</v>
      </c>
      <c r="C1308" s="6" t="inlineStr">
        <is>
          <t>A12</t>
        </is>
      </c>
      <c r="D1308" s="6" t="n">
        <v>5</v>
      </c>
      <c r="E1308" s="15" t="n">
        <v>333</v>
      </c>
      <c r="F1308" s="5" t="inlineStr">
        <is>
          <t>нет</t>
        </is>
      </c>
      <c r="H1308">
        <f>VLOOKUP(C1308,Автомобили!$A$2:$G$1000,3,0)</f>
        <v/>
      </c>
      <c r="I1308">
        <f>VLOOKUP(D1308,Клиенты!$A$2:$D$1000,2,0)</f>
        <v/>
      </c>
      <c r="J1308">
        <f>IF(AND(H1308="Kaptur",I1308="Окраинов Л.Г.",YEAR(B1308)=2020),E1308,0)</f>
        <v/>
      </c>
    </row>
    <row r="1309">
      <c r="A1309" s="6" t="n">
        <v>1308</v>
      </c>
      <c r="B1309" s="13" t="n">
        <v>44157</v>
      </c>
      <c r="C1309" s="6" t="inlineStr">
        <is>
          <t>A59</t>
        </is>
      </c>
      <c r="D1309" s="6" t="n">
        <v>7</v>
      </c>
      <c r="E1309" s="15" t="n">
        <v>238</v>
      </c>
      <c r="F1309" s="5" t="inlineStr">
        <is>
          <t>нет</t>
        </is>
      </c>
      <c r="H1309">
        <f>VLOOKUP(C1309,Автомобили!$A$2:$G$1000,3,0)</f>
        <v/>
      </c>
      <c r="I1309">
        <f>VLOOKUP(D1309,Клиенты!$A$2:$D$1000,2,0)</f>
        <v/>
      </c>
      <c r="J1309">
        <f>IF(AND(H1309="Kaptur",I1309="Окраинов Л.Г.",YEAR(B1309)=2020),E1309,0)</f>
        <v/>
      </c>
    </row>
    <row r="1310">
      <c r="A1310" s="6" t="n">
        <v>1309</v>
      </c>
      <c r="B1310" s="13" t="n">
        <v>44158</v>
      </c>
      <c r="C1310" s="6" t="inlineStr">
        <is>
          <t>A20</t>
        </is>
      </c>
      <c r="D1310" s="6" t="n">
        <v>14</v>
      </c>
      <c r="E1310" s="15" t="n">
        <v>373</v>
      </c>
      <c r="F1310" s="5" t="inlineStr">
        <is>
          <t>нет</t>
        </is>
      </c>
      <c r="H1310">
        <f>VLOOKUP(C1310,Автомобили!$A$2:$G$1000,3,0)</f>
        <v/>
      </c>
      <c r="I1310">
        <f>VLOOKUP(D1310,Клиенты!$A$2:$D$1000,2,0)</f>
        <v/>
      </c>
      <c r="J1310">
        <f>IF(AND(H1310="Kaptur",I1310="Окраинов Л.Г.",YEAR(B1310)=2020),E1310,0)</f>
        <v/>
      </c>
    </row>
    <row r="1311">
      <c r="A1311" s="6" t="n">
        <v>1310</v>
      </c>
      <c r="B1311" s="13" t="n">
        <v>44158</v>
      </c>
      <c r="C1311" s="6" t="inlineStr">
        <is>
          <t>A27</t>
        </is>
      </c>
      <c r="D1311" s="6" t="n">
        <v>5</v>
      </c>
      <c r="E1311" s="15" t="n">
        <v>267</v>
      </c>
      <c r="F1311" s="5" t="inlineStr">
        <is>
          <t>нет</t>
        </is>
      </c>
      <c r="H1311">
        <f>VLOOKUP(C1311,Автомобили!$A$2:$G$1000,3,0)</f>
        <v/>
      </c>
      <c r="I1311">
        <f>VLOOKUP(D1311,Клиенты!$A$2:$D$1000,2,0)</f>
        <v/>
      </c>
      <c r="J1311">
        <f>IF(AND(H1311="Kaptur",I1311="Окраинов Л.Г.",YEAR(B1311)=2020),E1311,0)</f>
        <v/>
      </c>
    </row>
    <row r="1312">
      <c r="A1312" s="6" t="n">
        <v>1311</v>
      </c>
      <c r="B1312" s="13" t="n">
        <v>44158</v>
      </c>
      <c r="C1312" s="6" t="inlineStr">
        <is>
          <t>A58</t>
        </is>
      </c>
      <c r="D1312" s="6" t="n">
        <v>10</v>
      </c>
      <c r="E1312" s="15" t="n">
        <v>110</v>
      </c>
      <c r="F1312" s="5" t="inlineStr">
        <is>
          <t>нет</t>
        </is>
      </c>
      <c r="H1312">
        <f>VLOOKUP(C1312,Автомобили!$A$2:$G$1000,3,0)</f>
        <v/>
      </c>
      <c r="I1312">
        <f>VLOOKUP(D1312,Клиенты!$A$2:$D$1000,2,0)</f>
        <v/>
      </c>
      <c r="J1312">
        <f>IF(AND(H1312="Kaptur",I1312="Окраинов Л.Г.",YEAR(B1312)=2020),E1312,0)</f>
        <v/>
      </c>
    </row>
    <row r="1313">
      <c r="A1313" s="6" t="n">
        <v>1312</v>
      </c>
      <c r="B1313" s="13" t="n">
        <v>44158</v>
      </c>
      <c r="C1313" s="6" t="inlineStr">
        <is>
          <t>A22</t>
        </is>
      </c>
      <c r="D1313" s="6" t="n">
        <v>13</v>
      </c>
      <c r="E1313" s="15" t="n">
        <v>111</v>
      </c>
      <c r="F1313" s="5" t="inlineStr">
        <is>
          <t>нет</t>
        </is>
      </c>
      <c r="H1313">
        <f>VLOOKUP(C1313,Автомобили!$A$2:$G$1000,3,0)</f>
        <v/>
      </c>
      <c r="I1313">
        <f>VLOOKUP(D1313,Клиенты!$A$2:$D$1000,2,0)</f>
        <v/>
      </c>
      <c r="J1313">
        <f>IF(AND(H1313="Kaptur",I1313="Окраинов Л.Г.",YEAR(B1313)=2020),E1313,0)</f>
        <v/>
      </c>
    </row>
    <row r="1314">
      <c r="A1314" s="6" t="n">
        <v>1313</v>
      </c>
      <c r="B1314" s="13" t="n">
        <v>44159</v>
      </c>
      <c r="C1314" s="6" t="inlineStr">
        <is>
          <t>A20</t>
        </is>
      </c>
      <c r="D1314" s="6" t="n">
        <v>13</v>
      </c>
      <c r="E1314" s="15" t="n">
        <v>395</v>
      </c>
      <c r="F1314" s="5" t="inlineStr">
        <is>
          <t>нет</t>
        </is>
      </c>
      <c r="H1314">
        <f>VLOOKUP(C1314,Автомобили!$A$2:$G$1000,3,0)</f>
        <v/>
      </c>
      <c r="I1314">
        <f>VLOOKUP(D1314,Клиенты!$A$2:$D$1000,2,0)</f>
        <v/>
      </c>
      <c r="J1314">
        <f>IF(AND(H1314="Kaptur",I1314="Окраинов Л.Г.",YEAR(B1314)=2020),E1314,0)</f>
        <v/>
      </c>
    </row>
    <row r="1315">
      <c r="A1315" s="6" t="n">
        <v>1314</v>
      </c>
      <c r="B1315" s="13" t="n">
        <v>44159</v>
      </c>
      <c r="C1315" s="6" t="inlineStr">
        <is>
          <t>A27</t>
        </is>
      </c>
      <c r="D1315" s="6" t="n">
        <v>14</v>
      </c>
      <c r="E1315" s="15" t="n">
        <v>243</v>
      </c>
      <c r="F1315" s="5" t="inlineStr">
        <is>
          <t>нет</t>
        </is>
      </c>
      <c r="H1315">
        <f>VLOOKUP(C1315,Автомобили!$A$2:$G$1000,3,0)</f>
        <v/>
      </c>
      <c r="I1315">
        <f>VLOOKUP(D1315,Клиенты!$A$2:$D$1000,2,0)</f>
        <v/>
      </c>
      <c r="J1315">
        <f>IF(AND(H1315="Kaptur",I1315="Окраинов Л.Г.",YEAR(B1315)=2020),E1315,0)</f>
        <v/>
      </c>
    </row>
    <row r="1316">
      <c r="A1316" s="6" t="n">
        <v>1315</v>
      </c>
      <c r="B1316" s="13" t="n">
        <v>44159</v>
      </c>
      <c r="C1316" s="6" t="inlineStr">
        <is>
          <t>A7</t>
        </is>
      </c>
      <c r="D1316" s="6" t="n">
        <v>15</v>
      </c>
      <c r="E1316" s="15" t="n">
        <v>351</v>
      </c>
      <c r="F1316" s="5" t="inlineStr">
        <is>
          <t>нет</t>
        </is>
      </c>
      <c r="H1316">
        <f>VLOOKUP(C1316,Автомобили!$A$2:$G$1000,3,0)</f>
        <v/>
      </c>
      <c r="I1316">
        <f>VLOOKUP(D1316,Клиенты!$A$2:$D$1000,2,0)</f>
        <v/>
      </c>
      <c r="J1316">
        <f>IF(AND(H1316="Kaptur",I1316="Окраинов Л.Г.",YEAR(B1316)=2020),E1316,0)</f>
        <v/>
      </c>
    </row>
    <row r="1317">
      <c r="A1317" s="6" t="n">
        <v>1316</v>
      </c>
      <c r="B1317" s="13" t="n">
        <v>44159</v>
      </c>
      <c r="C1317" s="6" t="inlineStr">
        <is>
          <t>A4</t>
        </is>
      </c>
      <c r="D1317" s="6" t="n">
        <v>10</v>
      </c>
      <c r="E1317" s="15" t="n">
        <v>142</v>
      </c>
      <c r="F1317" s="5" t="inlineStr">
        <is>
          <t>нет</t>
        </is>
      </c>
      <c r="H1317">
        <f>VLOOKUP(C1317,Автомобили!$A$2:$G$1000,3,0)</f>
        <v/>
      </c>
      <c r="I1317">
        <f>VLOOKUP(D1317,Клиенты!$A$2:$D$1000,2,0)</f>
        <v/>
      </c>
      <c r="J1317">
        <f>IF(AND(H1317="Kaptur",I1317="Окраинов Л.Г.",YEAR(B1317)=2020),E1317,0)</f>
        <v/>
      </c>
    </row>
    <row r="1318">
      <c r="A1318" s="6" t="n">
        <v>1317</v>
      </c>
      <c r="B1318" s="13" t="n">
        <v>44160</v>
      </c>
      <c r="C1318" s="6" t="inlineStr">
        <is>
          <t>A53</t>
        </is>
      </c>
      <c r="D1318" s="6" t="n">
        <v>14</v>
      </c>
      <c r="E1318" s="15" t="n">
        <v>249</v>
      </c>
      <c r="F1318" s="5" t="inlineStr">
        <is>
          <t>нет</t>
        </is>
      </c>
      <c r="H1318">
        <f>VLOOKUP(C1318,Автомобили!$A$2:$G$1000,3,0)</f>
        <v/>
      </c>
      <c r="I1318">
        <f>VLOOKUP(D1318,Клиенты!$A$2:$D$1000,2,0)</f>
        <v/>
      </c>
      <c r="J1318">
        <f>IF(AND(H1318="Kaptur",I1318="Окраинов Л.Г.",YEAR(B1318)=2020),E1318,0)</f>
        <v/>
      </c>
    </row>
    <row r="1319">
      <c r="A1319" s="6" t="n">
        <v>1318</v>
      </c>
      <c r="B1319" s="13" t="n">
        <v>44160</v>
      </c>
      <c r="C1319" s="6" t="inlineStr">
        <is>
          <t>A11</t>
        </is>
      </c>
      <c r="D1319" s="6" t="n">
        <v>10</v>
      </c>
      <c r="E1319" s="15" t="n">
        <v>397</v>
      </c>
      <c r="F1319" s="5" t="inlineStr">
        <is>
          <t>нет</t>
        </is>
      </c>
      <c r="H1319">
        <f>VLOOKUP(C1319,Автомобили!$A$2:$G$1000,3,0)</f>
        <v/>
      </c>
      <c r="I1319">
        <f>VLOOKUP(D1319,Клиенты!$A$2:$D$1000,2,0)</f>
        <v/>
      </c>
      <c r="J1319">
        <f>IF(AND(H1319="Kaptur",I1319="Окраинов Л.Г.",YEAR(B1319)=2020),E1319,0)</f>
        <v/>
      </c>
    </row>
    <row r="1320">
      <c r="A1320" s="6" t="n">
        <v>1319</v>
      </c>
      <c r="B1320" s="13" t="n">
        <v>44160</v>
      </c>
      <c r="C1320" s="6" t="inlineStr">
        <is>
          <t>A52</t>
        </is>
      </c>
      <c r="D1320" s="6" t="n">
        <v>13</v>
      </c>
      <c r="E1320" s="15" t="n">
        <v>333</v>
      </c>
      <c r="F1320" s="5" t="inlineStr">
        <is>
          <t>нет</t>
        </is>
      </c>
      <c r="H1320">
        <f>VLOOKUP(C1320,Автомобили!$A$2:$G$1000,3,0)</f>
        <v/>
      </c>
      <c r="I1320">
        <f>VLOOKUP(D1320,Клиенты!$A$2:$D$1000,2,0)</f>
        <v/>
      </c>
      <c r="J1320">
        <f>IF(AND(H1320="Kaptur",I1320="Окраинов Л.Г.",YEAR(B1320)=2020),E1320,0)</f>
        <v/>
      </c>
    </row>
    <row r="1321">
      <c r="A1321" s="6" t="n">
        <v>1320</v>
      </c>
      <c r="B1321" s="13" t="n">
        <v>44160</v>
      </c>
      <c r="C1321" s="6" t="inlineStr">
        <is>
          <t>A19</t>
        </is>
      </c>
      <c r="D1321" s="6" t="n">
        <v>6</v>
      </c>
      <c r="E1321" s="15" t="n">
        <v>442</v>
      </c>
      <c r="F1321" s="5" t="inlineStr">
        <is>
          <t>нет</t>
        </is>
      </c>
      <c r="H1321">
        <f>VLOOKUP(C1321,Автомобили!$A$2:$G$1000,3,0)</f>
        <v/>
      </c>
      <c r="I1321">
        <f>VLOOKUP(D1321,Клиенты!$A$2:$D$1000,2,0)</f>
        <v/>
      </c>
      <c r="J1321">
        <f>IF(AND(H1321="Kaptur",I1321="Окраинов Л.Г.",YEAR(B1321)=2020),E1321,0)</f>
        <v/>
      </c>
    </row>
    <row r="1322">
      <c r="A1322" s="6" t="n">
        <v>1321</v>
      </c>
      <c r="B1322" s="13" t="n">
        <v>44161</v>
      </c>
      <c r="C1322" s="6" t="inlineStr">
        <is>
          <t>A19</t>
        </is>
      </c>
      <c r="D1322" s="6" t="n">
        <v>15</v>
      </c>
      <c r="E1322" s="15" t="n">
        <v>269</v>
      </c>
      <c r="F1322" s="5" t="inlineStr">
        <is>
          <t>к клиенту</t>
        </is>
      </c>
      <c r="H1322">
        <f>VLOOKUP(C1322,Автомобили!$A$2:$G$1000,3,0)</f>
        <v/>
      </c>
      <c r="I1322">
        <f>VLOOKUP(D1322,Клиенты!$A$2:$D$1000,2,0)</f>
        <v/>
      </c>
      <c r="J1322">
        <f>IF(AND(H1322="Kaptur",I1322="Окраинов Л.Г.",YEAR(B1322)=2020),E1322,0)</f>
        <v/>
      </c>
    </row>
    <row r="1323">
      <c r="A1323" s="6" t="n">
        <v>1322</v>
      </c>
      <c r="B1323" s="13" t="n">
        <v>44161</v>
      </c>
      <c r="C1323" s="6" t="inlineStr">
        <is>
          <t>A12</t>
        </is>
      </c>
      <c r="D1323" s="6" t="n">
        <v>6</v>
      </c>
      <c r="E1323" s="15" t="n">
        <v>428</v>
      </c>
      <c r="F1323" s="5" t="inlineStr">
        <is>
          <t>нет</t>
        </is>
      </c>
      <c r="H1323">
        <f>VLOOKUP(C1323,Автомобили!$A$2:$G$1000,3,0)</f>
        <v/>
      </c>
      <c r="I1323">
        <f>VLOOKUP(D1323,Клиенты!$A$2:$D$1000,2,0)</f>
        <v/>
      </c>
      <c r="J1323">
        <f>IF(AND(H1323="Kaptur",I1323="Окраинов Л.Г.",YEAR(B1323)=2020),E1323,0)</f>
        <v/>
      </c>
    </row>
    <row r="1324">
      <c r="A1324" s="6" t="n">
        <v>1323</v>
      </c>
      <c r="B1324" s="13" t="n">
        <v>44161</v>
      </c>
      <c r="C1324" s="6" t="inlineStr">
        <is>
          <t>A15</t>
        </is>
      </c>
      <c r="D1324" s="6" t="n">
        <v>6</v>
      </c>
      <c r="E1324" s="15" t="n">
        <v>410</v>
      </c>
      <c r="F1324" s="5" t="inlineStr">
        <is>
          <t>нет</t>
        </is>
      </c>
      <c r="H1324">
        <f>VLOOKUP(C1324,Автомобили!$A$2:$G$1000,3,0)</f>
        <v/>
      </c>
      <c r="I1324">
        <f>VLOOKUP(D1324,Клиенты!$A$2:$D$1000,2,0)</f>
        <v/>
      </c>
      <c r="J1324">
        <f>IF(AND(H1324="Kaptur",I1324="Окраинов Л.Г.",YEAR(B1324)=2020),E1324,0)</f>
        <v/>
      </c>
    </row>
    <row r="1325">
      <c r="A1325" s="6" t="n">
        <v>1324</v>
      </c>
      <c r="B1325" s="13" t="n">
        <v>44161</v>
      </c>
      <c r="C1325" s="6" t="inlineStr">
        <is>
          <t>A65</t>
        </is>
      </c>
      <c r="D1325" s="6" t="n">
        <v>12</v>
      </c>
      <c r="E1325" s="15" t="n">
        <v>127</v>
      </c>
      <c r="F1325" s="5" t="inlineStr">
        <is>
          <t>нет</t>
        </is>
      </c>
      <c r="H1325">
        <f>VLOOKUP(C1325,Автомобили!$A$2:$G$1000,3,0)</f>
        <v/>
      </c>
      <c r="I1325">
        <f>VLOOKUP(D1325,Клиенты!$A$2:$D$1000,2,0)</f>
        <v/>
      </c>
      <c r="J1325">
        <f>IF(AND(H1325="Kaptur",I1325="Окраинов Л.Г.",YEAR(B1325)=2020),E1325,0)</f>
        <v/>
      </c>
    </row>
    <row r="1326">
      <c r="A1326" s="6" t="n">
        <v>1325</v>
      </c>
      <c r="B1326" s="13" t="n">
        <v>44162</v>
      </c>
      <c r="C1326" s="6" t="inlineStr">
        <is>
          <t>A60</t>
        </is>
      </c>
      <c r="D1326" s="6" t="n">
        <v>5</v>
      </c>
      <c r="E1326" s="15" t="n">
        <v>190</v>
      </c>
      <c r="F1326" s="5" t="inlineStr">
        <is>
          <t>нет</t>
        </is>
      </c>
      <c r="H1326">
        <f>VLOOKUP(C1326,Автомобили!$A$2:$G$1000,3,0)</f>
        <v/>
      </c>
      <c r="I1326">
        <f>VLOOKUP(D1326,Клиенты!$A$2:$D$1000,2,0)</f>
        <v/>
      </c>
      <c r="J1326">
        <f>IF(AND(H1326="Kaptur",I1326="Окраинов Л.Г.",YEAR(B1326)=2020),E1326,0)</f>
        <v/>
      </c>
    </row>
    <row r="1327">
      <c r="A1327" s="6" t="n">
        <v>1326</v>
      </c>
      <c r="B1327" s="13" t="n">
        <v>44162</v>
      </c>
      <c r="C1327" s="6" t="inlineStr">
        <is>
          <t>A17</t>
        </is>
      </c>
      <c r="D1327" s="6" t="n">
        <v>12</v>
      </c>
      <c r="E1327" s="15" t="n">
        <v>152</v>
      </c>
      <c r="F1327" s="5" t="inlineStr">
        <is>
          <t>нет</t>
        </is>
      </c>
      <c r="H1327">
        <f>VLOOKUP(C1327,Автомобили!$A$2:$G$1000,3,0)</f>
        <v/>
      </c>
      <c r="I1327">
        <f>VLOOKUP(D1327,Клиенты!$A$2:$D$1000,2,0)</f>
        <v/>
      </c>
      <c r="J1327">
        <f>IF(AND(H1327="Kaptur",I1327="Окраинов Л.Г.",YEAR(B1327)=2020),E1327,0)</f>
        <v/>
      </c>
    </row>
    <row r="1328">
      <c r="A1328" s="6" t="n">
        <v>1327</v>
      </c>
      <c r="B1328" s="13" t="n">
        <v>44162</v>
      </c>
      <c r="C1328" s="6" t="inlineStr">
        <is>
          <t>A54</t>
        </is>
      </c>
      <c r="D1328" s="6" t="n">
        <v>13</v>
      </c>
      <c r="E1328" s="15" t="n">
        <v>324</v>
      </c>
      <c r="F1328" s="5" t="inlineStr">
        <is>
          <t>нет</t>
        </is>
      </c>
      <c r="H1328">
        <f>VLOOKUP(C1328,Автомобили!$A$2:$G$1000,3,0)</f>
        <v/>
      </c>
      <c r="I1328">
        <f>VLOOKUP(D1328,Клиенты!$A$2:$D$1000,2,0)</f>
        <v/>
      </c>
      <c r="J1328">
        <f>IF(AND(H1328="Kaptur",I1328="Окраинов Л.Г.",YEAR(B1328)=2020),E1328,0)</f>
        <v/>
      </c>
    </row>
    <row r="1329">
      <c r="A1329" s="6" t="n">
        <v>1328</v>
      </c>
      <c r="B1329" s="13" t="n">
        <v>44162</v>
      </c>
      <c r="C1329" s="6" t="inlineStr">
        <is>
          <t>A63</t>
        </is>
      </c>
      <c r="D1329" s="6" t="n">
        <v>9</v>
      </c>
      <c r="E1329" s="15" t="n">
        <v>258</v>
      </c>
      <c r="F1329" s="5" t="inlineStr">
        <is>
          <t>нет</t>
        </is>
      </c>
      <c r="H1329">
        <f>VLOOKUP(C1329,Автомобили!$A$2:$G$1000,3,0)</f>
        <v/>
      </c>
      <c r="I1329">
        <f>VLOOKUP(D1329,Клиенты!$A$2:$D$1000,2,0)</f>
        <v/>
      </c>
      <c r="J1329">
        <f>IF(AND(H1329="Kaptur",I1329="Окраинов Л.Г.",YEAR(B1329)=2020),E1329,0)</f>
        <v/>
      </c>
    </row>
    <row r="1330">
      <c r="A1330" s="6" t="n">
        <v>1329</v>
      </c>
      <c r="B1330" s="13" t="n">
        <v>44163</v>
      </c>
      <c r="C1330" s="6" t="inlineStr">
        <is>
          <t>A32</t>
        </is>
      </c>
      <c r="D1330" s="6" t="n">
        <v>12</v>
      </c>
      <c r="E1330" s="15" t="n">
        <v>311</v>
      </c>
      <c r="F1330" s="5" t="inlineStr">
        <is>
          <t>нет</t>
        </is>
      </c>
      <c r="H1330">
        <f>VLOOKUP(C1330,Автомобили!$A$2:$G$1000,3,0)</f>
        <v/>
      </c>
      <c r="I1330">
        <f>VLOOKUP(D1330,Клиенты!$A$2:$D$1000,2,0)</f>
        <v/>
      </c>
      <c r="J1330">
        <f>IF(AND(H1330="Kaptur",I1330="Окраинов Л.Г.",YEAR(B1330)=2020),E1330,0)</f>
        <v/>
      </c>
    </row>
    <row r="1331">
      <c r="A1331" s="6" t="n">
        <v>1330</v>
      </c>
      <c r="B1331" s="13" t="n">
        <v>44163</v>
      </c>
      <c r="C1331" s="6" t="inlineStr">
        <is>
          <t>A38</t>
        </is>
      </c>
      <c r="D1331" s="6" t="n">
        <v>6</v>
      </c>
      <c r="E1331" s="15" t="n">
        <v>324</v>
      </c>
      <c r="F1331" s="5" t="inlineStr">
        <is>
          <t>нет</t>
        </is>
      </c>
      <c r="H1331">
        <f>VLOOKUP(C1331,Автомобили!$A$2:$G$1000,3,0)</f>
        <v/>
      </c>
      <c r="I1331">
        <f>VLOOKUP(D1331,Клиенты!$A$2:$D$1000,2,0)</f>
        <v/>
      </c>
      <c r="J1331">
        <f>IF(AND(H1331="Kaptur",I1331="Окраинов Л.Г.",YEAR(B1331)=2020),E1331,0)</f>
        <v/>
      </c>
    </row>
    <row r="1332">
      <c r="A1332" s="6" t="n">
        <v>1331</v>
      </c>
      <c r="B1332" s="13" t="n">
        <v>44163</v>
      </c>
      <c r="C1332" s="6" t="inlineStr">
        <is>
          <t>A15</t>
        </is>
      </c>
      <c r="D1332" s="6" t="n">
        <v>8</v>
      </c>
      <c r="E1332" s="15" t="n">
        <v>393</v>
      </c>
      <c r="F1332" s="5" t="inlineStr">
        <is>
          <t>нет</t>
        </is>
      </c>
      <c r="H1332">
        <f>VLOOKUP(C1332,Автомобили!$A$2:$G$1000,3,0)</f>
        <v/>
      </c>
      <c r="I1332">
        <f>VLOOKUP(D1332,Клиенты!$A$2:$D$1000,2,0)</f>
        <v/>
      </c>
      <c r="J1332">
        <f>IF(AND(H1332="Kaptur",I1332="Окраинов Л.Г.",YEAR(B1332)=2020),E1332,0)</f>
        <v/>
      </c>
    </row>
    <row r="1333">
      <c r="A1333" s="6" t="n">
        <v>1332</v>
      </c>
      <c r="B1333" s="13" t="n">
        <v>44163</v>
      </c>
      <c r="C1333" s="6" t="inlineStr">
        <is>
          <t>A61</t>
        </is>
      </c>
      <c r="D1333" s="6" t="n">
        <v>1</v>
      </c>
      <c r="E1333" s="15" t="n">
        <v>408</v>
      </c>
      <c r="F1333" s="5" t="inlineStr">
        <is>
          <t>нет</t>
        </is>
      </c>
      <c r="H1333">
        <f>VLOOKUP(C1333,Автомобили!$A$2:$G$1000,3,0)</f>
        <v/>
      </c>
      <c r="I1333">
        <f>VLOOKUP(D1333,Клиенты!$A$2:$D$1000,2,0)</f>
        <v/>
      </c>
      <c r="J1333">
        <f>IF(AND(H1333="Kaptur",I1333="Окраинов Л.Г.",YEAR(B1333)=2020),E1333,0)</f>
        <v/>
      </c>
    </row>
    <row r="1334">
      <c r="A1334" s="6" t="n">
        <v>1333</v>
      </c>
      <c r="B1334" s="13" t="n">
        <v>44164</v>
      </c>
      <c r="C1334" s="6" t="inlineStr">
        <is>
          <t>A15</t>
        </is>
      </c>
      <c r="D1334" s="6" t="n">
        <v>5</v>
      </c>
      <c r="E1334" s="15" t="n">
        <v>94</v>
      </c>
      <c r="F1334" s="5" t="inlineStr">
        <is>
          <t>нет</t>
        </is>
      </c>
      <c r="H1334">
        <f>VLOOKUP(C1334,Автомобили!$A$2:$G$1000,3,0)</f>
        <v/>
      </c>
      <c r="I1334">
        <f>VLOOKUP(D1334,Клиенты!$A$2:$D$1000,2,0)</f>
        <v/>
      </c>
      <c r="J1334">
        <f>IF(AND(H1334="Kaptur",I1334="Окраинов Л.Г.",YEAR(B1334)=2020),E1334,0)</f>
        <v/>
      </c>
    </row>
    <row r="1335">
      <c r="A1335" s="6" t="n">
        <v>1334</v>
      </c>
      <c r="B1335" s="13" t="n">
        <v>44164</v>
      </c>
      <c r="C1335" s="6" t="inlineStr">
        <is>
          <t>A15</t>
        </is>
      </c>
      <c r="D1335" s="6" t="n">
        <v>2</v>
      </c>
      <c r="E1335" s="15" t="n">
        <v>392</v>
      </c>
      <c r="F1335" s="5" t="inlineStr">
        <is>
          <t>нет</t>
        </is>
      </c>
      <c r="H1335">
        <f>VLOOKUP(C1335,Автомобили!$A$2:$G$1000,3,0)</f>
        <v/>
      </c>
      <c r="I1335">
        <f>VLOOKUP(D1335,Клиенты!$A$2:$D$1000,2,0)</f>
        <v/>
      </c>
      <c r="J1335">
        <f>IF(AND(H1335="Kaptur",I1335="Окраинов Л.Г.",YEAR(B1335)=2020),E1335,0)</f>
        <v/>
      </c>
    </row>
    <row r="1336">
      <c r="A1336" s="6" t="n">
        <v>1335</v>
      </c>
      <c r="B1336" s="13" t="n">
        <v>44164</v>
      </c>
      <c r="C1336" s="6" t="inlineStr">
        <is>
          <t>A34</t>
        </is>
      </c>
      <c r="D1336" s="6" t="n">
        <v>4</v>
      </c>
      <c r="E1336" s="15" t="n">
        <v>102</v>
      </c>
      <c r="F1336" s="5" t="inlineStr">
        <is>
          <t>к компании</t>
        </is>
      </c>
      <c r="H1336">
        <f>VLOOKUP(C1336,Автомобили!$A$2:$G$1000,3,0)</f>
        <v/>
      </c>
      <c r="I1336">
        <f>VLOOKUP(D1336,Клиенты!$A$2:$D$1000,2,0)</f>
        <v/>
      </c>
      <c r="J1336">
        <f>IF(AND(H1336="Kaptur",I1336="Окраинов Л.Г.",YEAR(B1336)=2020),E1336,0)</f>
        <v/>
      </c>
    </row>
    <row r="1337">
      <c r="A1337" s="6" t="n">
        <v>1336</v>
      </c>
      <c r="B1337" s="13" t="n">
        <v>44164</v>
      </c>
      <c r="C1337" s="6" t="inlineStr">
        <is>
          <t>A47</t>
        </is>
      </c>
      <c r="D1337" s="6" t="n">
        <v>4</v>
      </c>
      <c r="E1337" s="15" t="n">
        <v>354</v>
      </c>
      <c r="F1337" s="5" t="inlineStr">
        <is>
          <t>нет</t>
        </is>
      </c>
      <c r="H1337">
        <f>VLOOKUP(C1337,Автомобили!$A$2:$G$1000,3,0)</f>
        <v/>
      </c>
      <c r="I1337">
        <f>VLOOKUP(D1337,Клиенты!$A$2:$D$1000,2,0)</f>
        <v/>
      </c>
      <c r="J1337">
        <f>IF(AND(H1337="Kaptur",I1337="Окраинов Л.Г.",YEAR(B1337)=2020),E1337,0)</f>
        <v/>
      </c>
    </row>
    <row r="1338">
      <c r="A1338" s="6" t="n">
        <v>1337</v>
      </c>
      <c r="B1338" s="13" t="n">
        <v>44165</v>
      </c>
      <c r="C1338" s="6" t="inlineStr">
        <is>
          <t>A52</t>
        </is>
      </c>
      <c r="D1338" s="6" t="n">
        <v>5</v>
      </c>
      <c r="E1338" s="15" t="n">
        <v>434</v>
      </c>
      <c r="F1338" s="5" t="inlineStr">
        <is>
          <t>нет</t>
        </is>
      </c>
      <c r="H1338">
        <f>VLOOKUP(C1338,Автомобили!$A$2:$G$1000,3,0)</f>
        <v/>
      </c>
      <c r="I1338">
        <f>VLOOKUP(D1338,Клиенты!$A$2:$D$1000,2,0)</f>
        <v/>
      </c>
      <c r="J1338">
        <f>IF(AND(H1338="Kaptur",I1338="Окраинов Л.Г.",YEAR(B1338)=2020),E1338,0)</f>
        <v/>
      </c>
    </row>
    <row r="1339">
      <c r="A1339" s="6" t="n">
        <v>1338</v>
      </c>
      <c r="B1339" s="13" t="n">
        <v>44165</v>
      </c>
      <c r="C1339" s="6" t="inlineStr">
        <is>
          <t>A35</t>
        </is>
      </c>
      <c r="D1339" s="6" t="n">
        <v>8</v>
      </c>
      <c r="E1339" s="15" t="n">
        <v>191</v>
      </c>
      <c r="F1339" s="5" t="inlineStr">
        <is>
          <t>нет</t>
        </is>
      </c>
      <c r="H1339">
        <f>VLOOKUP(C1339,Автомобили!$A$2:$G$1000,3,0)</f>
        <v/>
      </c>
      <c r="I1339">
        <f>VLOOKUP(D1339,Клиенты!$A$2:$D$1000,2,0)</f>
        <v/>
      </c>
      <c r="J1339">
        <f>IF(AND(H1339="Kaptur",I1339="Окраинов Л.Г.",YEAR(B1339)=2020),E1339,0)</f>
        <v/>
      </c>
    </row>
    <row r="1340">
      <c r="A1340" s="6" t="n">
        <v>1339</v>
      </c>
      <c r="B1340" s="13" t="n">
        <v>44165</v>
      </c>
      <c r="C1340" s="6" t="inlineStr">
        <is>
          <t>A27</t>
        </is>
      </c>
      <c r="D1340" s="6" t="n">
        <v>1</v>
      </c>
      <c r="E1340" s="15" t="n">
        <v>179</v>
      </c>
      <c r="F1340" s="5" t="inlineStr">
        <is>
          <t>нет</t>
        </is>
      </c>
      <c r="H1340">
        <f>VLOOKUP(C1340,Автомобили!$A$2:$G$1000,3,0)</f>
        <v/>
      </c>
      <c r="I1340">
        <f>VLOOKUP(D1340,Клиенты!$A$2:$D$1000,2,0)</f>
        <v/>
      </c>
      <c r="J1340">
        <f>IF(AND(H1340="Kaptur",I1340="Окраинов Л.Г.",YEAR(B1340)=2020),E1340,0)</f>
        <v/>
      </c>
    </row>
    <row r="1341">
      <c r="A1341" s="6" t="n">
        <v>1340</v>
      </c>
      <c r="B1341" s="13" t="n">
        <v>44165</v>
      </c>
      <c r="C1341" s="6" t="inlineStr">
        <is>
          <t>A49</t>
        </is>
      </c>
      <c r="D1341" s="6" t="n">
        <v>3</v>
      </c>
      <c r="E1341" s="15" t="n">
        <v>447</v>
      </c>
      <c r="F1341" s="5" t="inlineStr">
        <is>
          <t>нет</t>
        </is>
      </c>
      <c r="H1341">
        <f>VLOOKUP(C1341,Автомобили!$A$2:$G$1000,3,0)</f>
        <v/>
      </c>
      <c r="I1341">
        <f>VLOOKUP(D1341,Клиенты!$A$2:$D$1000,2,0)</f>
        <v/>
      </c>
      <c r="J1341">
        <f>IF(AND(H1341="Kaptur",I1341="Окраинов Л.Г.",YEAR(B1341)=2020),E1341,0)</f>
        <v/>
      </c>
    </row>
    <row r="1342">
      <c r="A1342" s="6" t="n">
        <v>1341</v>
      </c>
      <c r="B1342" s="13" t="n">
        <v>44166</v>
      </c>
      <c r="C1342" s="6" t="inlineStr">
        <is>
          <t>A60</t>
        </is>
      </c>
      <c r="D1342" s="6" t="n">
        <v>1</v>
      </c>
      <c r="E1342" s="15" t="n">
        <v>428</v>
      </c>
      <c r="F1342" s="5" t="inlineStr">
        <is>
          <t>нет</t>
        </is>
      </c>
      <c r="H1342">
        <f>VLOOKUP(C1342,Автомобили!$A$2:$G$1000,3,0)</f>
        <v/>
      </c>
      <c r="I1342">
        <f>VLOOKUP(D1342,Клиенты!$A$2:$D$1000,2,0)</f>
        <v/>
      </c>
      <c r="J1342">
        <f>IF(AND(H1342="Kaptur",I1342="Окраинов Л.Г.",YEAR(B1342)=2020),E1342,0)</f>
        <v/>
      </c>
    </row>
    <row r="1343">
      <c r="A1343" s="6" t="n">
        <v>1342</v>
      </c>
      <c r="B1343" s="13" t="n">
        <v>44166</v>
      </c>
      <c r="C1343" s="6" t="inlineStr">
        <is>
          <t>A18</t>
        </is>
      </c>
      <c r="D1343" s="6" t="n">
        <v>4</v>
      </c>
      <c r="E1343" s="15" t="n">
        <v>86</v>
      </c>
      <c r="F1343" s="5" t="inlineStr">
        <is>
          <t>нет</t>
        </is>
      </c>
      <c r="H1343">
        <f>VLOOKUP(C1343,Автомобили!$A$2:$G$1000,3,0)</f>
        <v/>
      </c>
      <c r="I1343">
        <f>VLOOKUP(D1343,Клиенты!$A$2:$D$1000,2,0)</f>
        <v/>
      </c>
      <c r="J1343">
        <f>IF(AND(H1343="Kaptur",I1343="Окраинов Л.Г.",YEAR(B1343)=2020),E1343,0)</f>
        <v/>
      </c>
    </row>
    <row r="1344">
      <c r="A1344" s="6" t="n">
        <v>1343</v>
      </c>
      <c r="B1344" s="13" t="n">
        <v>44166</v>
      </c>
      <c r="C1344" s="6" t="inlineStr">
        <is>
          <t>A19</t>
        </is>
      </c>
      <c r="D1344" s="6" t="n">
        <v>13</v>
      </c>
      <c r="E1344" s="15" t="n">
        <v>306</v>
      </c>
      <c r="F1344" s="5" t="inlineStr">
        <is>
          <t>нет</t>
        </is>
      </c>
      <c r="H1344">
        <f>VLOOKUP(C1344,Автомобили!$A$2:$G$1000,3,0)</f>
        <v/>
      </c>
      <c r="I1344">
        <f>VLOOKUP(D1344,Клиенты!$A$2:$D$1000,2,0)</f>
        <v/>
      </c>
      <c r="J1344">
        <f>IF(AND(H1344="Kaptur",I1344="Окраинов Л.Г.",YEAR(B1344)=2020),E1344,0)</f>
        <v/>
      </c>
    </row>
    <row r="1345">
      <c r="A1345" s="6" t="n">
        <v>1344</v>
      </c>
      <c r="B1345" s="13" t="n">
        <v>44166</v>
      </c>
      <c r="C1345" s="6" t="inlineStr">
        <is>
          <t>A64</t>
        </is>
      </c>
      <c r="D1345" s="6" t="n">
        <v>12</v>
      </c>
      <c r="E1345" s="15" t="n">
        <v>223</v>
      </c>
      <c r="F1345" s="5" t="inlineStr">
        <is>
          <t>нет</t>
        </is>
      </c>
      <c r="H1345">
        <f>VLOOKUP(C1345,Автомобили!$A$2:$G$1000,3,0)</f>
        <v/>
      </c>
      <c r="I1345">
        <f>VLOOKUP(D1345,Клиенты!$A$2:$D$1000,2,0)</f>
        <v/>
      </c>
      <c r="J1345">
        <f>IF(AND(H1345="Kaptur",I1345="Окраинов Л.Г.",YEAR(B1345)=2020),E1345,0)</f>
        <v/>
      </c>
    </row>
    <row r="1346">
      <c r="A1346" s="6" t="n">
        <v>1345</v>
      </c>
      <c r="B1346" s="13" t="n">
        <v>44167</v>
      </c>
      <c r="C1346" s="6" t="inlineStr">
        <is>
          <t>A11</t>
        </is>
      </c>
      <c r="D1346" s="6" t="n">
        <v>15</v>
      </c>
      <c r="E1346" s="15" t="n">
        <v>399</v>
      </c>
      <c r="F1346" s="5" t="inlineStr">
        <is>
          <t>нет</t>
        </is>
      </c>
      <c r="H1346">
        <f>VLOOKUP(C1346,Автомобили!$A$2:$G$1000,3,0)</f>
        <v/>
      </c>
      <c r="I1346">
        <f>VLOOKUP(D1346,Клиенты!$A$2:$D$1000,2,0)</f>
        <v/>
      </c>
      <c r="J1346">
        <f>IF(AND(H1346="Kaptur",I1346="Окраинов Л.Г.",YEAR(B1346)=2020),E1346,0)</f>
        <v/>
      </c>
    </row>
    <row r="1347">
      <c r="A1347" s="6" t="n">
        <v>1346</v>
      </c>
      <c r="B1347" s="13" t="n">
        <v>44167</v>
      </c>
      <c r="C1347" s="6" t="inlineStr">
        <is>
          <t>A34</t>
        </is>
      </c>
      <c r="D1347" s="6" t="n">
        <v>15</v>
      </c>
      <c r="E1347" s="15" t="n">
        <v>210</v>
      </c>
      <c r="F1347" s="5" t="inlineStr">
        <is>
          <t>нет</t>
        </is>
      </c>
      <c r="H1347">
        <f>VLOOKUP(C1347,Автомобили!$A$2:$G$1000,3,0)</f>
        <v/>
      </c>
      <c r="I1347">
        <f>VLOOKUP(D1347,Клиенты!$A$2:$D$1000,2,0)</f>
        <v/>
      </c>
      <c r="J1347">
        <f>IF(AND(H1347="Kaptur",I1347="Окраинов Л.Г.",YEAR(B1347)=2020),E1347,0)</f>
        <v/>
      </c>
    </row>
    <row r="1348">
      <c r="A1348" s="6" t="n">
        <v>1347</v>
      </c>
      <c r="B1348" s="13" t="n">
        <v>44167</v>
      </c>
      <c r="C1348" s="6" t="inlineStr">
        <is>
          <t>A7</t>
        </is>
      </c>
      <c r="D1348" s="6" t="n">
        <v>5</v>
      </c>
      <c r="E1348" s="15" t="n">
        <v>216</v>
      </c>
      <c r="F1348" s="5" t="inlineStr">
        <is>
          <t>нет</t>
        </is>
      </c>
      <c r="H1348">
        <f>VLOOKUP(C1348,Автомобили!$A$2:$G$1000,3,0)</f>
        <v/>
      </c>
      <c r="I1348">
        <f>VLOOKUP(D1348,Клиенты!$A$2:$D$1000,2,0)</f>
        <v/>
      </c>
      <c r="J1348">
        <f>IF(AND(H1348="Kaptur",I1348="Окраинов Л.Г.",YEAR(B1348)=2020),E1348,0)</f>
        <v/>
      </c>
    </row>
    <row r="1349">
      <c r="A1349" s="6" t="n">
        <v>1348</v>
      </c>
      <c r="B1349" s="13" t="n">
        <v>44167</v>
      </c>
      <c r="C1349" s="6" t="inlineStr">
        <is>
          <t>A13</t>
        </is>
      </c>
      <c r="D1349" s="6" t="n">
        <v>11</v>
      </c>
      <c r="E1349" s="15" t="n">
        <v>266</v>
      </c>
      <c r="F1349" s="5" t="inlineStr">
        <is>
          <t>нет</t>
        </is>
      </c>
      <c r="H1349">
        <f>VLOOKUP(C1349,Автомобили!$A$2:$G$1000,3,0)</f>
        <v/>
      </c>
      <c r="I1349">
        <f>VLOOKUP(D1349,Клиенты!$A$2:$D$1000,2,0)</f>
        <v/>
      </c>
      <c r="J1349">
        <f>IF(AND(H1349="Kaptur",I1349="Окраинов Л.Г.",YEAR(B1349)=2020),E1349,0)</f>
        <v/>
      </c>
    </row>
    <row r="1350">
      <c r="A1350" s="6" t="n">
        <v>1349</v>
      </c>
      <c r="B1350" s="13" t="n">
        <v>44168</v>
      </c>
      <c r="C1350" s="6" t="inlineStr">
        <is>
          <t>A48</t>
        </is>
      </c>
      <c r="D1350" s="6" t="n">
        <v>6</v>
      </c>
      <c r="E1350" s="15" t="n">
        <v>108</v>
      </c>
      <c r="F1350" s="5" t="inlineStr">
        <is>
          <t>нет</t>
        </is>
      </c>
      <c r="H1350">
        <f>VLOOKUP(C1350,Автомобили!$A$2:$G$1000,3,0)</f>
        <v/>
      </c>
      <c r="I1350">
        <f>VLOOKUP(D1350,Клиенты!$A$2:$D$1000,2,0)</f>
        <v/>
      </c>
      <c r="J1350">
        <f>IF(AND(H1350="Kaptur",I1350="Окраинов Л.Г.",YEAR(B1350)=2020),E1350,0)</f>
        <v/>
      </c>
    </row>
    <row r="1351">
      <c r="A1351" s="6" t="n">
        <v>1350</v>
      </c>
      <c r="B1351" s="13" t="n">
        <v>44168</v>
      </c>
      <c r="C1351" s="6" t="inlineStr">
        <is>
          <t>A57</t>
        </is>
      </c>
      <c r="D1351" s="6" t="n">
        <v>11</v>
      </c>
      <c r="E1351" s="15" t="n">
        <v>155</v>
      </c>
      <c r="F1351" s="5" t="inlineStr">
        <is>
          <t>нет</t>
        </is>
      </c>
      <c r="H1351">
        <f>VLOOKUP(C1351,Автомобили!$A$2:$G$1000,3,0)</f>
        <v/>
      </c>
      <c r="I1351">
        <f>VLOOKUP(D1351,Клиенты!$A$2:$D$1000,2,0)</f>
        <v/>
      </c>
      <c r="J1351">
        <f>IF(AND(H1351="Kaptur",I1351="Окраинов Л.Г.",YEAR(B1351)=2020),E1351,0)</f>
        <v/>
      </c>
    </row>
    <row r="1352">
      <c r="A1352" s="6" t="n">
        <v>1351</v>
      </c>
      <c r="B1352" s="13" t="n">
        <v>44168</v>
      </c>
      <c r="C1352" s="6" t="inlineStr">
        <is>
          <t>A49</t>
        </is>
      </c>
      <c r="D1352" s="6" t="n">
        <v>3</v>
      </c>
      <c r="E1352" s="15" t="n">
        <v>75</v>
      </c>
      <c r="F1352" s="5" t="inlineStr">
        <is>
          <t>нет</t>
        </is>
      </c>
      <c r="H1352">
        <f>VLOOKUP(C1352,Автомобили!$A$2:$G$1000,3,0)</f>
        <v/>
      </c>
      <c r="I1352">
        <f>VLOOKUP(D1352,Клиенты!$A$2:$D$1000,2,0)</f>
        <v/>
      </c>
      <c r="J1352">
        <f>IF(AND(H1352="Kaptur",I1352="Окраинов Л.Г.",YEAR(B1352)=2020),E1352,0)</f>
        <v/>
      </c>
    </row>
    <row r="1353">
      <c r="A1353" s="6" t="n">
        <v>1352</v>
      </c>
      <c r="B1353" s="13" t="n">
        <v>44168</v>
      </c>
      <c r="C1353" s="6" t="inlineStr">
        <is>
          <t>A42</t>
        </is>
      </c>
      <c r="D1353" s="6" t="n">
        <v>15</v>
      </c>
      <c r="E1353" s="15" t="n">
        <v>347</v>
      </c>
      <c r="F1353" s="5" t="inlineStr">
        <is>
          <t>нет</t>
        </is>
      </c>
      <c r="H1353">
        <f>VLOOKUP(C1353,Автомобили!$A$2:$G$1000,3,0)</f>
        <v/>
      </c>
      <c r="I1353">
        <f>VLOOKUP(D1353,Клиенты!$A$2:$D$1000,2,0)</f>
        <v/>
      </c>
      <c r="J1353">
        <f>IF(AND(H1353="Kaptur",I1353="Окраинов Л.Г.",YEAR(B1353)=2020),E1353,0)</f>
        <v/>
      </c>
    </row>
    <row r="1354">
      <c r="A1354" s="6" t="n">
        <v>1353</v>
      </c>
      <c r="B1354" s="13" t="n">
        <v>44169</v>
      </c>
      <c r="C1354" s="6" t="inlineStr">
        <is>
          <t>A55</t>
        </is>
      </c>
      <c r="D1354" s="6" t="n">
        <v>11</v>
      </c>
      <c r="E1354" s="15" t="n">
        <v>164</v>
      </c>
      <c r="F1354" s="5" t="inlineStr">
        <is>
          <t>нет</t>
        </is>
      </c>
      <c r="H1354">
        <f>VLOOKUP(C1354,Автомобили!$A$2:$G$1000,3,0)</f>
        <v/>
      </c>
      <c r="I1354">
        <f>VLOOKUP(D1354,Клиенты!$A$2:$D$1000,2,0)</f>
        <v/>
      </c>
      <c r="J1354">
        <f>IF(AND(H1354="Kaptur",I1354="Окраинов Л.Г.",YEAR(B1354)=2020),E1354,0)</f>
        <v/>
      </c>
    </row>
    <row r="1355">
      <c r="A1355" s="6" t="n">
        <v>1354</v>
      </c>
      <c r="B1355" s="13" t="n">
        <v>44169</v>
      </c>
      <c r="C1355" s="6" t="inlineStr">
        <is>
          <t>A62</t>
        </is>
      </c>
      <c r="D1355" s="6" t="n">
        <v>1</v>
      </c>
      <c r="E1355" s="15" t="n">
        <v>403</v>
      </c>
      <c r="F1355" s="5" t="inlineStr">
        <is>
          <t>нет</t>
        </is>
      </c>
      <c r="H1355">
        <f>VLOOKUP(C1355,Автомобили!$A$2:$G$1000,3,0)</f>
        <v/>
      </c>
      <c r="I1355">
        <f>VLOOKUP(D1355,Клиенты!$A$2:$D$1000,2,0)</f>
        <v/>
      </c>
      <c r="J1355">
        <f>IF(AND(H1355="Kaptur",I1355="Окраинов Л.Г.",YEAR(B1355)=2020),E1355,0)</f>
        <v/>
      </c>
    </row>
    <row r="1356">
      <c r="A1356" s="6" t="n">
        <v>1355</v>
      </c>
      <c r="B1356" s="13" t="n">
        <v>44169</v>
      </c>
      <c r="C1356" s="6" t="inlineStr">
        <is>
          <t>A50</t>
        </is>
      </c>
      <c r="D1356" s="6" t="n">
        <v>7</v>
      </c>
      <c r="E1356" s="15" t="n">
        <v>107</v>
      </c>
      <c r="F1356" s="5" t="inlineStr">
        <is>
          <t>нет</t>
        </is>
      </c>
      <c r="H1356">
        <f>VLOOKUP(C1356,Автомобили!$A$2:$G$1000,3,0)</f>
        <v/>
      </c>
      <c r="I1356">
        <f>VLOOKUP(D1356,Клиенты!$A$2:$D$1000,2,0)</f>
        <v/>
      </c>
      <c r="J1356">
        <f>IF(AND(H1356="Kaptur",I1356="Окраинов Л.Г.",YEAR(B1356)=2020),E1356,0)</f>
        <v/>
      </c>
    </row>
    <row r="1357">
      <c r="A1357" s="6" t="n">
        <v>1356</v>
      </c>
      <c r="B1357" s="13" t="n">
        <v>44169</v>
      </c>
      <c r="C1357" s="6" t="inlineStr">
        <is>
          <t>A1</t>
        </is>
      </c>
      <c r="D1357" s="6" t="n">
        <v>6</v>
      </c>
      <c r="E1357" s="15" t="n">
        <v>183</v>
      </c>
      <c r="F1357" s="5" t="inlineStr">
        <is>
          <t>нет</t>
        </is>
      </c>
      <c r="H1357">
        <f>VLOOKUP(C1357,Автомобили!$A$2:$G$1000,3,0)</f>
        <v/>
      </c>
      <c r="I1357">
        <f>VLOOKUP(D1357,Клиенты!$A$2:$D$1000,2,0)</f>
        <v/>
      </c>
      <c r="J1357">
        <f>IF(AND(H1357="Kaptur",I1357="Окраинов Л.Г.",YEAR(B1357)=2020),E1357,0)</f>
        <v/>
      </c>
    </row>
    <row r="1358">
      <c r="A1358" s="6" t="n">
        <v>1357</v>
      </c>
      <c r="B1358" s="13" t="n">
        <v>44170</v>
      </c>
      <c r="C1358" s="6" t="inlineStr">
        <is>
          <t>A28</t>
        </is>
      </c>
      <c r="D1358" s="6" t="n">
        <v>15</v>
      </c>
      <c r="E1358" s="15" t="n">
        <v>146</v>
      </c>
      <c r="F1358" s="5" t="inlineStr">
        <is>
          <t>нет</t>
        </is>
      </c>
      <c r="H1358">
        <f>VLOOKUP(C1358,Автомобили!$A$2:$G$1000,3,0)</f>
        <v/>
      </c>
      <c r="I1358">
        <f>VLOOKUP(D1358,Клиенты!$A$2:$D$1000,2,0)</f>
        <v/>
      </c>
      <c r="J1358">
        <f>IF(AND(H1358="Kaptur",I1358="Окраинов Л.Г.",YEAR(B1358)=2020),E1358,0)</f>
        <v/>
      </c>
    </row>
    <row r="1359">
      <c r="A1359" s="6" t="n">
        <v>1358</v>
      </c>
      <c r="B1359" s="13" t="n">
        <v>44170</v>
      </c>
      <c r="C1359" s="6" t="inlineStr">
        <is>
          <t>A44</t>
        </is>
      </c>
      <c r="D1359" s="6" t="n">
        <v>14</v>
      </c>
      <c r="E1359" s="15" t="n">
        <v>357</v>
      </c>
      <c r="F1359" s="5" t="inlineStr">
        <is>
          <t>нет</t>
        </is>
      </c>
      <c r="H1359">
        <f>VLOOKUP(C1359,Автомобили!$A$2:$G$1000,3,0)</f>
        <v/>
      </c>
      <c r="I1359">
        <f>VLOOKUP(D1359,Клиенты!$A$2:$D$1000,2,0)</f>
        <v/>
      </c>
      <c r="J1359">
        <f>IF(AND(H1359="Kaptur",I1359="Окраинов Л.Г.",YEAR(B1359)=2020),E1359,0)</f>
        <v/>
      </c>
    </row>
    <row r="1360">
      <c r="A1360" s="6" t="n">
        <v>1359</v>
      </c>
      <c r="B1360" s="13" t="n">
        <v>44170</v>
      </c>
      <c r="C1360" s="6" t="inlineStr">
        <is>
          <t>A48</t>
        </is>
      </c>
      <c r="D1360" s="6" t="n">
        <v>7</v>
      </c>
      <c r="E1360" s="15" t="n">
        <v>368</v>
      </c>
      <c r="F1360" s="5" t="inlineStr">
        <is>
          <t>нет</t>
        </is>
      </c>
      <c r="H1360">
        <f>VLOOKUP(C1360,Автомобили!$A$2:$G$1000,3,0)</f>
        <v/>
      </c>
      <c r="I1360">
        <f>VLOOKUP(D1360,Клиенты!$A$2:$D$1000,2,0)</f>
        <v/>
      </c>
      <c r="J1360">
        <f>IF(AND(H1360="Kaptur",I1360="Окраинов Л.Г.",YEAR(B1360)=2020),E1360,0)</f>
        <v/>
      </c>
    </row>
    <row r="1361">
      <c r="A1361" s="6" t="n">
        <v>1360</v>
      </c>
      <c r="B1361" s="13" t="n">
        <v>44170</v>
      </c>
      <c r="C1361" s="6" t="inlineStr">
        <is>
          <t>A47</t>
        </is>
      </c>
      <c r="D1361" s="6" t="n">
        <v>14</v>
      </c>
      <c r="E1361" s="15" t="n">
        <v>282</v>
      </c>
      <c r="F1361" s="5" t="inlineStr">
        <is>
          <t>нет</t>
        </is>
      </c>
      <c r="H1361">
        <f>VLOOKUP(C1361,Автомобили!$A$2:$G$1000,3,0)</f>
        <v/>
      </c>
      <c r="I1361">
        <f>VLOOKUP(D1361,Клиенты!$A$2:$D$1000,2,0)</f>
        <v/>
      </c>
      <c r="J1361">
        <f>IF(AND(H1361="Kaptur",I1361="Окраинов Л.Г.",YEAR(B1361)=2020),E1361,0)</f>
        <v/>
      </c>
    </row>
    <row r="1362">
      <c r="A1362" s="6" t="n">
        <v>1361</v>
      </c>
      <c r="B1362" s="13" t="n">
        <v>44171</v>
      </c>
      <c r="C1362" s="6" t="inlineStr">
        <is>
          <t>A12</t>
        </is>
      </c>
      <c r="D1362" s="6" t="n">
        <v>6</v>
      </c>
      <c r="E1362" s="15" t="n">
        <v>348</v>
      </c>
      <c r="F1362" s="5" t="inlineStr">
        <is>
          <t>нет</t>
        </is>
      </c>
      <c r="H1362">
        <f>VLOOKUP(C1362,Автомобили!$A$2:$G$1000,3,0)</f>
        <v/>
      </c>
      <c r="I1362">
        <f>VLOOKUP(D1362,Клиенты!$A$2:$D$1000,2,0)</f>
        <v/>
      </c>
      <c r="J1362">
        <f>IF(AND(H1362="Kaptur",I1362="Окраинов Л.Г.",YEAR(B1362)=2020),E1362,0)</f>
        <v/>
      </c>
    </row>
    <row r="1363">
      <c r="A1363" s="6" t="n">
        <v>1362</v>
      </c>
      <c r="B1363" s="13" t="n">
        <v>44171</v>
      </c>
      <c r="C1363" s="6" t="inlineStr">
        <is>
          <t>A61</t>
        </is>
      </c>
      <c r="D1363" s="6" t="n">
        <v>7</v>
      </c>
      <c r="E1363" s="15" t="n">
        <v>367</v>
      </c>
      <c r="F1363" s="5" t="inlineStr">
        <is>
          <t>нет</t>
        </is>
      </c>
      <c r="H1363">
        <f>VLOOKUP(C1363,Автомобили!$A$2:$G$1000,3,0)</f>
        <v/>
      </c>
      <c r="I1363">
        <f>VLOOKUP(D1363,Клиенты!$A$2:$D$1000,2,0)</f>
        <v/>
      </c>
      <c r="J1363">
        <f>IF(AND(H1363="Kaptur",I1363="Окраинов Л.Г.",YEAR(B1363)=2020),E1363,0)</f>
        <v/>
      </c>
    </row>
    <row r="1364">
      <c r="A1364" s="6" t="n">
        <v>1363</v>
      </c>
      <c r="B1364" s="13" t="n">
        <v>44171</v>
      </c>
      <c r="C1364" s="6" t="inlineStr">
        <is>
          <t>A57</t>
        </is>
      </c>
      <c r="D1364" s="6" t="n">
        <v>7</v>
      </c>
      <c r="E1364" s="15" t="n">
        <v>292</v>
      </c>
      <c r="F1364" s="5" t="inlineStr">
        <is>
          <t>нет</t>
        </is>
      </c>
      <c r="H1364">
        <f>VLOOKUP(C1364,Автомобили!$A$2:$G$1000,3,0)</f>
        <v/>
      </c>
      <c r="I1364">
        <f>VLOOKUP(D1364,Клиенты!$A$2:$D$1000,2,0)</f>
        <v/>
      </c>
      <c r="J1364">
        <f>IF(AND(H1364="Kaptur",I1364="Окраинов Л.Г.",YEAR(B1364)=2020),E1364,0)</f>
        <v/>
      </c>
    </row>
    <row r="1365">
      <c r="A1365" s="6" t="n">
        <v>1364</v>
      </c>
      <c r="B1365" s="13" t="n">
        <v>44171</v>
      </c>
      <c r="C1365" s="6" t="inlineStr">
        <is>
          <t>A11</t>
        </is>
      </c>
      <c r="D1365" s="6" t="n">
        <v>1</v>
      </c>
      <c r="E1365" s="15" t="n">
        <v>154</v>
      </c>
      <c r="F1365" s="5" t="inlineStr">
        <is>
          <t>нет</t>
        </is>
      </c>
      <c r="H1365">
        <f>VLOOKUP(C1365,Автомобили!$A$2:$G$1000,3,0)</f>
        <v/>
      </c>
      <c r="I1365">
        <f>VLOOKUP(D1365,Клиенты!$A$2:$D$1000,2,0)</f>
        <v/>
      </c>
      <c r="J1365">
        <f>IF(AND(H1365="Kaptur",I1365="Окраинов Л.Г.",YEAR(B1365)=2020),E1365,0)</f>
        <v/>
      </c>
    </row>
    <row r="1366">
      <c r="A1366" s="6" t="n">
        <v>1365</v>
      </c>
      <c r="B1366" s="13" t="n">
        <v>44172</v>
      </c>
      <c r="C1366" s="6" t="inlineStr">
        <is>
          <t>A37</t>
        </is>
      </c>
      <c r="D1366" s="6" t="n">
        <v>9</v>
      </c>
      <c r="E1366" s="15" t="n">
        <v>303</v>
      </c>
      <c r="F1366" s="5" t="inlineStr">
        <is>
          <t>нет</t>
        </is>
      </c>
      <c r="H1366">
        <f>VLOOKUP(C1366,Автомобили!$A$2:$G$1000,3,0)</f>
        <v/>
      </c>
      <c r="I1366">
        <f>VLOOKUP(D1366,Клиенты!$A$2:$D$1000,2,0)</f>
        <v/>
      </c>
      <c r="J1366">
        <f>IF(AND(H1366="Kaptur",I1366="Окраинов Л.Г.",YEAR(B1366)=2020),E1366,0)</f>
        <v/>
      </c>
    </row>
    <row r="1367">
      <c r="A1367" s="6" t="n">
        <v>1366</v>
      </c>
      <c r="B1367" s="13" t="n">
        <v>44172</v>
      </c>
      <c r="C1367" s="6" t="inlineStr">
        <is>
          <t>A46</t>
        </is>
      </c>
      <c r="D1367" s="6" t="n">
        <v>13</v>
      </c>
      <c r="E1367" s="15" t="n">
        <v>246</v>
      </c>
      <c r="F1367" s="5" t="inlineStr">
        <is>
          <t>нет</t>
        </is>
      </c>
      <c r="H1367">
        <f>VLOOKUP(C1367,Автомобили!$A$2:$G$1000,3,0)</f>
        <v/>
      </c>
      <c r="I1367">
        <f>VLOOKUP(D1367,Клиенты!$A$2:$D$1000,2,0)</f>
        <v/>
      </c>
      <c r="J1367">
        <f>IF(AND(H1367="Kaptur",I1367="Окраинов Л.Г.",YEAR(B1367)=2020),E1367,0)</f>
        <v/>
      </c>
    </row>
    <row r="1368">
      <c r="A1368" s="6" t="n">
        <v>1367</v>
      </c>
      <c r="B1368" s="13" t="n">
        <v>44172</v>
      </c>
      <c r="C1368" s="6" t="inlineStr">
        <is>
          <t>A57</t>
        </is>
      </c>
      <c r="D1368" s="6" t="n">
        <v>5</v>
      </c>
      <c r="E1368" s="15" t="n">
        <v>110</v>
      </c>
      <c r="F1368" s="5" t="inlineStr">
        <is>
          <t>нет</t>
        </is>
      </c>
      <c r="H1368">
        <f>VLOOKUP(C1368,Автомобили!$A$2:$G$1000,3,0)</f>
        <v/>
      </c>
      <c r="I1368">
        <f>VLOOKUP(D1368,Клиенты!$A$2:$D$1000,2,0)</f>
        <v/>
      </c>
      <c r="J1368">
        <f>IF(AND(H1368="Kaptur",I1368="Окраинов Л.Г.",YEAR(B1368)=2020),E1368,0)</f>
        <v/>
      </c>
    </row>
    <row r="1369">
      <c r="A1369" s="6" t="n">
        <v>1368</v>
      </c>
      <c r="B1369" s="13" t="n">
        <v>44172</v>
      </c>
      <c r="C1369" s="6" t="inlineStr">
        <is>
          <t>A61</t>
        </is>
      </c>
      <c r="D1369" s="6" t="n">
        <v>6</v>
      </c>
      <c r="E1369" s="15" t="n">
        <v>99</v>
      </c>
      <c r="F1369" s="5" t="inlineStr">
        <is>
          <t>нет</t>
        </is>
      </c>
      <c r="H1369">
        <f>VLOOKUP(C1369,Автомобили!$A$2:$G$1000,3,0)</f>
        <v/>
      </c>
      <c r="I1369">
        <f>VLOOKUP(D1369,Клиенты!$A$2:$D$1000,2,0)</f>
        <v/>
      </c>
      <c r="J1369">
        <f>IF(AND(H1369="Kaptur",I1369="Окраинов Л.Г.",YEAR(B1369)=2020),E1369,0)</f>
        <v/>
      </c>
    </row>
    <row r="1370">
      <c r="A1370" s="6" t="n">
        <v>1369</v>
      </c>
      <c r="B1370" s="13" t="n">
        <v>44173</v>
      </c>
      <c r="C1370" s="6" t="inlineStr">
        <is>
          <t>A22</t>
        </is>
      </c>
      <c r="D1370" s="6" t="n">
        <v>11</v>
      </c>
      <c r="E1370" s="15" t="n">
        <v>191</v>
      </c>
      <c r="F1370" s="5" t="inlineStr">
        <is>
          <t>нет</t>
        </is>
      </c>
      <c r="H1370">
        <f>VLOOKUP(C1370,Автомобили!$A$2:$G$1000,3,0)</f>
        <v/>
      </c>
      <c r="I1370">
        <f>VLOOKUP(D1370,Клиенты!$A$2:$D$1000,2,0)</f>
        <v/>
      </c>
      <c r="J1370">
        <f>IF(AND(H1370="Kaptur",I1370="Окраинов Л.Г.",YEAR(B1370)=2020),E1370,0)</f>
        <v/>
      </c>
    </row>
    <row r="1371">
      <c r="A1371" s="6" t="n">
        <v>1370</v>
      </c>
      <c r="B1371" s="13" t="n">
        <v>44173</v>
      </c>
      <c r="C1371" s="6" t="inlineStr">
        <is>
          <t>A49</t>
        </is>
      </c>
      <c r="D1371" s="6" t="n">
        <v>3</v>
      </c>
      <c r="E1371" s="15" t="n">
        <v>81</v>
      </c>
      <c r="F1371" s="5" t="inlineStr">
        <is>
          <t>нет</t>
        </is>
      </c>
      <c r="H1371">
        <f>VLOOKUP(C1371,Автомобили!$A$2:$G$1000,3,0)</f>
        <v/>
      </c>
      <c r="I1371">
        <f>VLOOKUP(D1371,Клиенты!$A$2:$D$1000,2,0)</f>
        <v/>
      </c>
      <c r="J1371">
        <f>IF(AND(H1371="Kaptur",I1371="Окраинов Л.Г.",YEAR(B1371)=2020),E1371,0)</f>
        <v/>
      </c>
    </row>
    <row r="1372">
      <c r="A1372" s="6" t="n">
        <v>1371</v>
      </c>
      <c r="B1372" s="13" t="n">
        <v>44173</v>
      </c>
      <c r="C1372" s="6" t="inlineStr">
        <is>
          <t>A28</t>
        </is>
      </c>
      <c r="D1372" s="6" t="n">
        <v>10</v>
      </c>
      <c r="E1372" s="15" t="n">
        <v>342</v>
      </c>
      <c r="F1372" s="5" t="inlineStr">
        <is>
          <t>нет</t>
        </is>
      </c>
      <c r="H1372">
        <f>VLOOKUP(C1372,Автомобили!$A$2:$G$1000,3,0)</f>
        <v/>
      </c>
      <c r="I1372">
        <f>VLOOKUP(D1372,Клиенты!$A$2:$D$1000,2,0)</f>
        <v/>
      </c>
      <c r="J1372">
        <f>IF(AND(H1372="Kaptur",I1372="Окраинов Л.Г.",YEAR(B1372)=2020),E1372,0)</f>
        <v/>
      </c>
    </row>
    <row r="1373">
      <c r="A1373" s="6" t="n">
        <v>1372</v>
      </c>
      <c r="B1373" s="13" t="n">
        <v>44173</v>
      </c>
      <c r="C1373" s="6" t="inlineStr">
        <is>
          <t>A23</t>
        </is>
      </c>
      <c r="D1373" s="6" t="n">
        <v>13</v>
      </c>
      <c r="E1373" s="15" t="n">
        <v>442</v>
      </c>
      <c r="F1373" s="5" t="inlineStr">
        <is>
          <t>нет</t>
        </is>
      </c>
      <c r="H1373">
        <f>VLOOKUP(C1373,Автомобили!$A$2:$G$1000,3,0)</f>
        <v/>
      </c>
      <c r="I1373">
        <f>VLOOKUP(D1373,Клиенты!$A$2:$D$1000,2,0)</f>
        <v/>
      </c>
      <c r="J1373">
        <f>IF(AND(H1373="Kaptur",I1373="Окраинов Л.Г.",YEAR(B1373)=2020),E1373,0)</f>
        <v/>
      </c>
    </row>
    <row r="1374">
      <c r="A1374" s="6" t="n">
        <v>1373</v>
      </c>
      <c r="B1374" s="13" t="n">
        <v>44174</v>
      </c>
      <c r="C1374" s="6" t="inlineStr">
        <is>
          <t>A34</t>
        </is>
      </c>
      <c r="D1374" s="6" t="n">
        <v>4</v>
      </c>
      <c r="E1374" s="15" t="n">
        <v>127</v>
      </c>
      <c r="F1374" s="5" t="inlineStr">
        <is>
          <t>нет</t>
        </is>
      </c>
      <c r="H1374">
        <f>VLOOKUP(C1374,Автомобили!$A$2:$G$1000,3,0)</f>
        <v/>
      </c>
      <c r="I1374">
        <f>VLOOKUP(D1374,Клиенты!$A$2:$D$1000,2,0)</f>
        <v/>
      </c>
      <c r="J1374">
        <f>IF(AND(H1374="Kaptur",I1374="Окраинов Л.Г.",YEAR(B1374)=2020),E1374,0)</f>
        <v/>
      </c>
    </row>
    <row r="1375">
      <c r="A1375" s="6" t="n">
        <v>1374</v>
      </c>
      <c r="B1375" s="13" t="n">
        <v>44174</v>
      </c>
      <c r="C1375" s="6" t="inlineStr">
        <is>
          <t>A50</t>
        </is>
      </c>
      <c r="D1375" s="6" t="n">
        <v>10</v>
      </c>
      <c r="E1375" s="15" t="n">
        <v>363</v>
      </c>
      <c r="F1375" s="5" t="inlineStr">
        <is>
          <t>нет</t>
        </is>
      </c>
      <c r="H1375">
        <f>VLOOKUP(C1375,Автомобили!$A$2:$G$1000,3,0)</f>
        <v/>
      </c>
      <c r="I1375">
        <f>VLOOKUP(D1375,Клиенты!$A$2:$D$1000,2,0)</f>
        <v/>
      </c>
      <c r="J1375">
        <f>IF(AND(H1375="Kaptur",I1375="Окраинов Л.Г.",YEAR(B1375)=2020),E1375,0)</f>
        <v/>
      </c>
    </row>
    <row r="1376">
      <c r="A1376" s="6" t="n">
        <v>1375</v>
      </c>
      <c r="B1376" s="13" t="n">
        <v>44174</v>
      </c>
      <c r="C1376" s="6" t="inlineStr">
        <is>
          <t>A40</t>
        </is>
      </c>
      <c r="D1376" s="6" t="n">
        <v>12</v>
      </c>
      <c r="E1376" s="15" t="n">
        <v>412</v>
      </c>
      <c r="F1376" s="5" t="inlineStr">
        <is>
          <t>нет</t>
        </is>
      </c>
      <c r="H1376">
        <f>VLOOKUP(C1376,Автомобили!$A$2:$G$1000,3,0)</f>
        <v/>
      </c>
      <c r="I1376">
        <f>VLOOKUP(D1376,Клиенты!$A$2:$D$1000,2,0)</f>
        <v/>
      </c>
      <c r="J1376">
        <f>IF(AND(H1376="Kaptur",I1376="Окраинов Л.Г.",YEAR(B1376)=2020),E1376,0)</f>
        <v/>
      </c>
    </row>
    <row r="1377">
      <c r="A1377" s="6" t="n">
        <v>1376</v>
      </c>
      <c r="B1377" s="13" t="n">
        <v>44174</v>
      </c>
      <c r="C1377" s="6" t="inlineStr">
        <is>
          <t>A22</t>
        </is>
      </c>
      <c r="D1377" s="6" t="n">
        <v>1</v>
      </c>
      <c r="E1377" s="15" t="n">
        <v>449</v>
      </c>
      <c r="F1377" s="5" t="inlineStr">
        <is>
          <t>нет</t>
        </is>
      </c>
      <c r="H1377">
        <f>VLOOKUP(C1377,Автомобили!$A$2:$G$1000,3,0)</f>
        <v/>
      </c>
      <c r="I1377">
        <f>VLOOKUP(D1377,Клиенты!$A$2:$D$1000,2,0)</f>
        <v/>
      </c>
      <c r="J1377">
        <f>IF(AND(H1377="Kaptur",I1377="Окраинов Л.Г.",YEAR(B1377)=2020),E1377,0)</f>
        <v/>
      </c>
    </row>
    <row r="1378">
      <c r="A1378" s="6" t="n">
        <v>1377</v>
      </c>
      <c r="B1378" s="13" t="n">
        <v>44175</v>
      </c>
      <c r="C1378" s="6" t="inlineStr">
        <is>
          <t>A10</t>
        </is>
      </c>
      <c r="D1378" s="6" t="n">
        <v>15</v>
      </c>
      <c r="E1378" s="15" t="n">
        <v>426</v>
      </c>
      <c r="F1378" s="5" t="inlineStr">
        <is>
          <t>нет</t>
        </is>
      </c>
      <c r="H1378">
        <f>VLOOKUP(C1378,Автомобили!$A$2:$G$1000,3,0)</f>
        <v/>
      </c>
      <c r="I1378">
        <f>VLOOKUP(D1378,Клиенты!$A$2:$D$1000,2,0)</f>
        <v/>
      </c>
      <c r="J1378">
        <f>IF(AND(H1378="Kaptur",I1378="Окраинов Л.Г.",YEAR(B1378)=2020),E1378,0)</f>
        <v/>
      </c>
    </row>
    <row r="1379">
      <c r="A1379" s="6" t="n">
        <v>1378</v>
      </c>
      <c r="B1379" s="13" t="n">
        <v>44175</v>
      </c>
      <c r="C1379" s="6" t="inlineStr">
        <is>
          <t>A7</t>
        </is>
      </c>
      <c r="D1379" s="6" t="n">
        <v>9</v>
      </c>
      <c r="E1379" s="15" t="n">
        <v>246</v>
      </c>
      <c r="F1379" s="5" t="inlineStr">
        <is>
          <t>нет</t>
        </is>
      </c>
      <c r="H1379">
        <f>VLOOKUP(C1379,Автомобили!$A$2:$G$1000,3,0)</f>
        <v/>
      </c>
      <c r="I1379">
        <f>VLOOKUP(D1379,Клиенты!$A$2:$D$1000,2,0)</f>
        <v/>
      </c>
      <c r="J1379">
        <f>IF(AND(H1379="Kaptur",I1379="Окраинов Л.Г.",YEAR(B1379)=2020),E1379,0)</f>
        <v/>
      </c>
    </row>
    <row r="1380">
      <c r="A1380" s="6" t="n">
        <v>1379</v>
      </c>
      <c r="B1380" s="13" t="n">
        <v>44175</v>
      </c>
      <c r="C1380" s="6" t="inlineStr">
        <is>
          <t>A28</t>
        </is>
      </c>
      <c r="D1380" s="6" t="n">
        <v>13</v>
      </c>
      <c r="E1380" s="15" t="n">
        <v>429</v>
      </c>
      <c r="F1380" s="5" t="inlineStr">
        <is>
          <t>нет</t>
        </is>
      </c>
      <c r="H1380">
        <f>VLOOKUP(C1380,Автомобили!$A$2:$G$1000,3,0)</f>
        <v/>
      </c>
      <c r="I1380">
        <f>VLOOKUP(D1380,Клиенты!$A$2:$D$1000,2,0)</f>
        <v/>
      </c>
      <c r="J1380">
        <f>IF(AND(H1380="Kaptur",I1380="Окраинов Л.Г.",YEAR(B1380)=2020),E1380,0)</f>
        <v/>
      </c>
    </row>
    <row r="1381">
      <c r="A1381" s="6" t="n">
        <v>1380</v>
      </c>
      <c r="B1381" s="13" t="n">
        <v>44175</v>
      </c>
      <c r="C1381" s="6" t="inlineStr">
        <is>
          <t>A28</t>
        </is>
      </c>
      <c r="D1381" s="6" t="n">
        <v>3</v>
      </c>
      <c r="E1381" s="15" t="n">
        <v>223</v>
      </c>
      <c r="F1381" s="5" t="inlineStr">
        <is>
          <t>нет</t>
        </is>
      </c>
      <c r="H1381">
        <f>VLOOKUP(C1381,Автомобили!$A$2:$G$1000,3,0)</f>
        <v/>
      </c>
      <c r="I1381">
        <f>VLOOKUP(D1381,Клиенты!$A$2:$D$1000,2,0)</f>
        <v/>
      </c>
      <c r="J1381">
        <f>IF(AND(H1381="Kaptur",I1381="Окраинов Л.Г.",YEAR(B1381)=2020),E1381,0)</f>
        <v/>
      </c>
    </row>
    <row r="1382">
      <c r="A1382" s="6" t="n">
        <v>1381</v>
      </c>
      <c r="B1382" s="13" t="n">
        <v>44176</v>
      </c>
      <c r="C1382" s="6" t="inlineStr">
        <is>
          <t>A47</t>
        </is>
      </c>
      <c r="D1382" s="6" t="n">
        <v>7</v>
      </c>
      <c r="E1382" s="15" t="n">
        <v>347</v>
      </c>
      <c r="F1382" s="5" t="inlineStr">
        <is>
          <t>нет</t>
        </is>
      </c>
      <c r="H1382">
        <f>VLOOKUP(C1382,Автомобили!$A$2:$G$1000,3,0)</f>
        <v/>
      </c>
      <c r="I1382">
        <f>VLOOKUP(D1382,Клиенты!$A$2:$D$1000,2,0)</f>
        <v/>
      </c>
      <c r="J1382">
        <f>IF(AND(H1382="Kaptur",I1382="Окраинов Л.Г.",YEAR(B1382)=2020),E1382,0)</f>
        <v/>
      </c>
    </row>
    <row r="1383">
      <c r="A1383" s="6" t="n">
        <v>1382</v>
      </c>
      <c r="B1383" s="13" t="n">
        <v>44176</v>
      </c>
      <c r="C1383" s="6" t="inlineStr">
        <is>
          <t>A7</t>
        </is>
      </c>
      <c r="D1383" s="6" t="n">
        <v>3</v>
      </c>
      <c r="E1383" s="15" t="n">
        <v>199</v>
      </c>
      <c r="F1383" s="5" t="inlineStr">
        <is>
          <t>нет</t>
        </is>
      </c>
      <c r="H1383">
        <f>VLOOKUP(C1383,Автомобили!$A$2:$G$1000,3,0)</f>
        <v/>
      </c>
      <c r="I1383">
        <f>VLOOKUP(D1383,Клиенты!$A$2:$D$1000,2,0)</f>
        <v/>
      </c>
      <c r="J1383">
        <f>IF(AND(H1383="Kaptur",I1383="Окраинов Л.Г.",YEAR(B1383)=2020),E1383,0)</f>
        <v/>
      </c>
    </row>
    <row r="1384">
      <c r="A1384" s="6" t="n">
        <v>1383</v>
      </c>
      <c r="B1384" s="13" t="n">
        <v>44176</v>
      </c>
      <c r="C1384" s="6" t="inlineStr">
        <is>
          <t>A50</t>
        </is>
      </c>
      <c r="D1384" s="6" t="n">
        <v>11</v>
      </c>
      <c r="E1384" s="15" t="n">
        <v>373</v>
      </c>
      <c r="F1384" s="5" t="inlineStr">
        <is>
          <t>нет</t>
        </is>
      </c>
      <c r="H1384">
        <f>VLOOKUP(C1384,Автомобили!$A$2:$G$1000,3,0)</f>
        <v/>
      </c>
      <c r="I1384">
        <f>VLOOKUP(D1384,Клиенты!$A$2:$D$1000,2,0)</f>
        <v/>
      </c>
      <c r="J1384">
        <f>IF(AND(H1384="Kaptur",I1384="Окраинов Л.Г.",YEAR(B1384)=2020),E1384,0)</f>
        <v/>
      </c>
    </row>
    <row r="1385">
      <c r="A1385" s="6" t="n">
        <v>1384</v>
      </c>
      <c r="B1385" s="13" t="n">
        <v>44176</v>
      </c>
      <c r="C1385" s="6" t="inlineStr">
        <is>
          <t>A28</t>
        </is>
      </c>
      <c r="D1385" s="6" t="n">
        <v>6</v>
      </c>
      <c r="E1385" s="15" t="n">
        <v>446</v>
      </c>
      <c r="F1385" s="5" t="inlineStr">
        <is>
          <t>нет</t>
        </is>
      </c>
      <c r="H1385">
        <f>VLOOKUP(C1385,Автомобили!$A$2:$G$1000,3,0)</f>
        <v/>
      </c>
      <c r="I1385">
        <f>VLOOKUP(D1385,Клиенты!$A$2:$D$1000,2,0)</f>
        <v/>
      </c>
      <c r="J1385">
        <f>IF(AND(H1385="Kaptur",I1385="Окраинов Л.Г.",YEAR(B1385)=2020),E1385,0)</f>
        <v/>
      </c>
    </row>
    <row r="1386">
      <c r="A1386" s="6" t="n">
        <v>1385</v>
      </c>
      <c r="B1386" s="13" t="n">
        <v>44177</v>
      </c>
      <c r="C1386" s="6" t="inlineStr">
        <is>
          <t>A34</t>
        </is>
      </c>
      <c r="D1386" s="6" t="n">
        <v>1</v>
      </c>
      <c r="E1386" s="15" t="n">
        <v>226</v>
      </c>
      <c r="F1386" s="5" t="inlineStr">
        <is>
          <t>нет</t>
        </is>
      </c>
      <c r="H1386">
        <f>VLOOKUP(C1386,Автомобили!$A$2:$G$1000,3,0)</f>
        <v/>
      </c>
      <c r="I1386">
        <f>VLOOKUP(D1386,Клиенты!$A$2:$D$1000,2,0)</f>
        <v/>
      </c>
      <c r="J1386">
        <f>IF(AND(H1386="Kaptur",I1386="Окраинов Л.Г.",YEAR(B1386)=2020),E1386,0)</f>
        <v/>
      </c>
    </row>
    <row r="1387">
      <c r="A1387" s="6" t="n">
        <v>1386</v>
      </c>
      <c r="B1387" s="13" t="n">
        <v>44177</v>
      </c>
      <c r="C1387" s="6" t="inlineStr">
        <is>
          <t>A15</t>
        </is>
      </c>
      <c r="D1387" s="6" t="n">
        <v>11</v>
      </c>
      <c r="E1387" s="15" t="n">
        <v>291</v>
      </c>
      <c r="F1387" s="5" t="inlineStr">
        <is>
          <t>нет</t>
        </is>
      </c>
      <c r="H1387">
        <f>VLOOKUP(C1387,Автомобили!$A$2:$G$1000,3,0)</f>
        <v/>
      </c>
      <c r="I1387">
        <f>VLOOKUP(D1387,Клиенты!$A$2:$D$1000,2,0)</f>
        <v/>
      </c>
      <c r="J1387">
        <f>IF(AND(H1387="Kaptur",I1387="Окраинов Л.Г.",YEAR(B1387)=2020),E1387,0)</f>
        <v/>
      </c>
    </row>
    <row r="1388">
      <c r="A1388" s="6" t="n">
        <v>1387</v>
      </c>
      <c r="B1388" s="13" t="n">
        <v>44177</v>
      </c>
      <c r="C1388" s="6" t="inlineStr">
        <is>
          <t>A58</t>
        </is>
      </c>
      <c r="D1388" s="6" t="n">
        <v>5</v>
      </c>
      <c r="E1388" s="15" t="n">
        <v>412</v>
      </c>
      <c r="F1388" s="5" t="inlineStr">
        <is>
          <t>нет</t>
        </is>
      </c>
      <c r="H1388">
        <f>VLOOKUP(C1388,Автомобили!$A$2:$G$1000,3,0)</f>
        <v/>
      </c>
      <c r="I1388">
        <f>VLOOKUP(D1388,Клиенты!$A$2:$D$1000,2,0)</f>
        <v/>
      </c>
      <c r="J1388">
        <f>IF(AND(H1388="Kaptur",I1388="Окраинов Л.Г.",YEAR(B1388)=2020),E1388,0)</f>
        <v/>
      </c>
    </row>
    <row r="1389">
      <c r="A1389" s="6" t="n">
        <v>1388</v>
      </c>
      <c r="B1389" s="13" t="n">
        <v>44177</v>
      </c>
      <c r="C1389" s="6" t="inlineStr">
        <is>
          <t>A35</t>
        </is>
      </c>
      <c r="D1389" s="6" t="n">
        <v>12</v>
      </c>
      <c r="E1389" s="15" t="n">
        <v>269</v>
      </c>
      <c r="F1389" s="5" t="inlineStr">
        <is>
          <t>нет</t>
        </is>
      </c>
      <c r="H1389">
        <f>VLOOKUP(C1389,Автомобили!$A$2:$G$1000,3,0)</f>
        <v/>
      </c>
      <c r="I1389">
        <f>VLOOKUP(D1389,Клиенты!$A$2:$D$1000,2,0)</f>
        <v/>
      </c>
      <c r="J1389">
        <f>IF(AND(H1389="Kaptur",I1389="Окраинов Л.Г.",YEAR(B1389)=2020),E1389,0)</f>
        <v/>
      </c>
    </row>
    <row r="1390">
      <c r="A1390" s="6" t="n">
        <v>1389</v>
      </c>
      <c r="B1390" s="13" t="n">
        <v>44178</v>
      </c>
      <c r="C1390" s="6" t="inlineStr">
        <is>
          <t>A24</t>
        </is>
      </c>
      <c r="D1390" s="6" t="n">
        <v>2</v>
      </c>
      <c r="E1390" s="15" t="n">
        <v>288</v>
      </c>
      <c r="F1390" s="5" t="inlineStr">
        <is>
          <t>нет</t>
        </is>
      </c>
      <c r="H1390">
        <f>VLOOKUP(C1390,Автомобили!$A$2:$G$1000,3,0)</f>
        <v/>
      </c>
      <c r="I1390">
        <f>VLOOKUP(D1390,Клиенты!$A$2:$D$1000,2,0)</f>
        <v/>
      </c>
      <c r="J1390">
        <f>IF(AND(H1390="Kaptur",I1390="Окраинов Л.Г.",YEAR(B1390)=2020),E1390,0)</f>
        <v/>
      </c>
    </row>
    <row r="1391">
      <c r="A1391" s="6" t="n">
        <v>1390</v>
      </c>
      <c r="B1391" s="13" t="n">
        <v>44178</v>
      </c>
      <c r="C1391" s="6" t="inlineStr">
        <is>
          <t>A56</t>
        </is>
      </c>
      <c r="D1391" s="6" t="n">
        <v>7</v>
      </c>
      <c r="E1391" s="15" t="n">
        <v>272</v>
      </c>
      <c r="F1391" s="5" t="inlineStr">
        <is>
          <t>нет</t>
        </is>
      </c>
      <c r="H1391">
        <f>VLOOKUP(C1391,Автомобили!$A$2:$G$1000,3,0)</f>
        <v/>
      </c>
      <c r="I1391">
        <f>VLOOKUP(D1391,Клиенты!$A$2:$D$1000,2,0)</f>
        <v/>
      </c>
      <c r="J1391">
        <f>IF(AND(H1391="Kaptur",I1391="Окраинов Л.Г.",YEAR(B1391)=2020),E1391,0)</f>
        <v/>
      </c>
    </row>
    <row r="1392">
      <c r="A1392" s="6" t="n">
        <v>1391</v>
      </c>
      <c r="B1392" s="13" t="n">
        <v>44178</v>
      </c>
      <c r="C1392" s="6" t="inlineStr">
        <is>
          <t>A11</t>
        </is>
      </c>
      <c r="D1392" s="6" t="n">
        <v>10</v>
      </c>
      <c r="E1392" s="15" t="n">
        <v>423</v>
      </c>
      <c r="F1392" s="5" t="inlineStr">
        <is>
          <t>нет</t>
        </is>
      </c>
      <c r="H1392">
        <f>VLOOKUP(C1392,Автомобили!$A$2:$G$1000,3,0)</f>
        <v/>
      </c>
      <c r="I1392">
        <f>VLOOKUP(D1392,Клиенты!$A$2:$D$1000,2,0)</f>
        <v/>
      </c>
      <c r="J1392">
        <f>IF(AND(H1392="Kaptur",I1392="Окраинов Л.Г.",YEAR(B1392)=2020),E1392,0)</f>
        <v/>
      </c>
    </row>
    <row r="1393">
      <c r="A1393" s="6" t="n">
        <v>1392</v>
      </c>
      <c r="B1393" s="13" t="n">
        <v>44178</v>
      </c>
      <c r="C1393" s="6" t="inlineStr">
        <is>
          <t>A4</t>
        </is>
      </c>
      <c r="D1393" s="6" t="n">
        <v>10</v>
      </c>
      <c r="E1393" s="15" t="n">
        <v>211</v>
      </c>
      <c r="F1393" s="5" t="inlineStr">
        <is>
          <t>нет</t>
        </is>
      </c>
      <c r="H1393">
        <f>VLOOKUP(C1393,Автомобили!$A$2:$G$1000,3,0)</f>
        <v/>
      </c>
      <c r="I1393">
        <f>VLOOKUP(D1393,Клиенты!$A$2:$D$1000,2,0)</f>
        <v/>
      </c>
      <c r="J1393">
        <f>IF(AND(H1393="Kaptur",I1393="Окраинов Л.Г.",YEAR(B1393)=2020),E1393,0)</f>
        <v/>
      </c>
    </row>
    <row r="1394">
      <c r="A1394" s="6" t="n">
        <v>1393</v>
      </c>
      <c r="B1394" s="13" t="n">
        <v>44179</v>
      </c>
      <c r="C1394" s="6" t="inlineStr">
        <is>
          <t>A46</t>
        </is>
      </c>
      <c r="D1394" s="6" t="n">
        <v>2</v>
      </c>
      <c r="E1394" s="15" t="n">
        <v>428</v>
      </c>
      <c r="F1394" s="5" t="inlineStr">
        <is>
          <t>нет</t>
        </is>
      </c>
      <c r="H1394">
        <f>VLOOKUP(C1394,Автомобили!$A$2:$G$1000,3,0)</f>
        <v/>
      </c>
      <c r="I1394">
        <f>VLOOKUP(D1394,Клиенты!$A$2:$D$1000,2,0)</f>
        <v/>
      </c>
      <c r="J1394">
        <f>IF(AND(H1394="Kaptur",I1394="Окраинов Л.Г.",YEAR(B1394)=2020),E1394,0)</f>
        <v/>
      </c>
    </row>
    <row r="1395">
      <c r="A1395" s="6" t="n">
        <v>1394</v>
      </c>
      <c r="B1395" s="13" t="n">
        <v>44179</v>
      </c>
      <c r="C1395" s="6" t="inlineStr">
        <is>
          <t>A44</t>
        </is>
      </c>
      <c r="D1395" s="6" t="n">
        <v>5</v>
      </c>
      <c r="E1395" s="15" t="n">
        <v>172</v>
      </c>
      <c r="F1395" s="5" t="inlineStr">
        <is>
          <t>нет</t>
        </is>
      </c>
      <c r="H1395">
        <f>VLOOKUP(C1395,Автомобили!$A$2:$G$1000,3,0)</f>
        <v/>
      </c>
      <c r="I1395">
        <f>VLOOKUP(D1395,Клиенты!$A$2:$D$1000,2,0)</f>
        <v/>
      </c>
      <c r="J1395">
        <f>IF(AND(H1395="Kaptur",I1395="Окраинов Л.Г.",YEAR(B1395)=2020),E1395,0)</f>
        <v/>
      </c>
    </row>
    <row r="1396">
      <c r="A1396" s="6" t="n">
        <v>1395</v>
      </c>
      <c r="B1396" s="13" t="n">
        <v>44179</v>
      </c>
      <c r="C1396" s="6" t="inlineStr">
        <is>
          <t>A36</t>
        </is>
      </c>
      <c r="D1396" s="6" t="n">
        <v>13</v>
      </c>
      <c r="E1396" s="15" t="n">
        <v>367</v>
      </c>
      <c r="F1396" s="5" t="inlineStr">
        <is>
          <t>нет</t>
        </is>
      </c>
      <c r="H1396">
        <f>VLOOKUP(C1396,Автомобили!$A$2:$G$1000,3,0)</f>
        <v/>
      </c>
      <c r="I1396">
        <f>VLOOKUP(D1396,Клиенты!$A$2:$D$1000,2,0)</f>
        <v/>
      </c>
      <c r="J1396">
        <f>IF(AND(H1396="Kaptur",I1396="Окраинов Л.Г.",YEAR(B1396)=2020),E1396,0)</f>
        <v/>
      </c>
    </row>
    <row r="1397">
      <c r="A1397" s="6" t="n">
        <v>1396</v>
      </c>
      <c r="B1397" s="13" t="n">
        <v>44179</v>
      </c>
      <c r="C1397" s="6" t="inlineStr">
        <is>
          <t>A38</t>
        </is>
      </c>
      <c r="D1397" s="6" t="n">
        <v>14</v>
      </c>
      <c r="E1397" s="15" t="n">
        <v>233</v>
      </c>
      <c r="F1397" s="5" t="inlineStr">
        <is>
          <t>нет</t>
        </is>
      </c>
      <c r="H1397">
        <f>VLOOKUP(C1397,Автомобили!$A$2:$G$1000,3,0)</f>
        <v/>
      </c>
      <c r="I1397">
        <f>VLOOKUP(D1397,Клиенты!$A$2:$D$1000,2,0)</f>
        <v/>
      </c>
      <c r="J1397">
        <f>IF(AND(H1397="Kaptur",I1397="Окраинов Л.Г.",YEAR(B1397)=2020),E1397,0)</f>
        <v/>
      </c>
    </row>
    <row r="1398">
      <c r="A1398" s="6" t="n">
        <v>1397</v>
      </c>
      <c r="B1398" s="13" t="n">
        <v>44180</v>
      </c>
      <c r="C1398" s="6" t="inlineStr">
        <is>
          <t>A63</t>
        </is>
      </c>
      <c r="D1398" s="6" t="n">
        <v>14</v>
      </c>
      <c r="E1398" s="15" t="n">
        <v>350</v>
      </c>
      <c r="F1398" s="5" t="inlineStr">
        <is>
          <t>нет</t>
        </is>
      </c>
      <c r="H1398">
        <f>VLOOKUP(C1398,Автомобили!$A$2:$G$1000,3,0)</f>
        <v/>
      </c>
      <c r="I1398">
        <f>VLOOKUP(D1398,Клиенты!$A$2:$D$1000,2,0)</f>
        <v/>
      </c>
      <c r="J1398">
        <f>IF(AND(H1398="Kaptur",I1398="Окраинов Л.Г.",YEAR(B1398)=2020),E1398,0)</f>
        <v/>
      </c>
    </row>
    <row r="1399">
      <c r="A1399" s="6" t="n">
        <v>1398</v>
      </c>
      <c r="B1399" s="13" t="n">
        <v>44180</v>
      </c>
      <c r="C1399" s="6" t="inlineStr">
        <is>
          <t>A26</t>
        </is>
      </c>
      <c r="D1399" s="6" t="n">
        <v>13</v>
      </c>
      <c r="E1399" s="15" t="n">
        <v>438</v>
      </c>
      <c r="F1399" s="5" t="inlineStr">
        <is>
          <t>нет</t>
        </is>
      </c>
      <c r="H1399">
        <f>VLOOKUP(C1399,Автомобили!$A$2:$G$1000,3,0)</f>
        <v/>
      </c>
      <c r="I1399">
        <f>VLOOKUP(D1399,Клиенты!$A$2:$D$1000,2,0)</f>
        <v/>
      </c>
      <c r="J1399">
        <f>IF(AND(H1399="Kaptur",I1399="Окраинов Л.Г.",YEAR(B1399)=2020),E1399,0)</f>
        <v/>
      </c>
    </row>
    <row r="1400">
      <c r="A1400" s="6" t="n">
        <v>1399</v>
      </c>
      <c r="B1400" s="13" t="n">
        <v>44180</v>
      </c>
      <c r="C1400" s="6" t="inlineStr">
        <is>
          <t>A16</t>
        </is>
      </c>
      <c r="D1400" s="6" t="n">
        <v>5</v>
      </c>
      <c r="E1400" s="15" t="n">
        <v>71</v>
      </c>
      <c r="F1400" s="5" t="inlineStr">
        <is>
          <t>нет</t>
        </is>
      </c>
      <c r="H1400">
        <f>VLOOKUP(C1400,Автомобили!$A$2:$G$1000,3,0)</f>
        <v/>
      </c>
      <c r="I1400">
        <f>VLOOKUP(D1400,Клиенты!$A$2:$D$1000,2,0)</f>
        <v/>
      </c>
      <c r="J1400">
        <f>IF(AND(H1400="Kaptur",I1400="Окраинов Л.Г.",YEAR(B1400)=2020),E1400,0)</f>
        <v/>
      </c>
    </row>
    <row r="1401">
      <c r="A1401" s="6" t="n">
        <v>1400</v>
      </c>
      <c r="B1401" s="13" t="n">
        <v>44180</v>
      </c>
      <c r="C1401" s="6" t="inlineStr">
        <is>
          <t>A43</t>
        </is>
      </c>
      <c r="D1401" s="6" t="n">
        <v>7</v>
      </c>
      <c r="E1401" s="15" t="n">
        <v>354</v>
      </c>
      <c r="F1401" s="5" t="inlineStr">
        <is>
          <t>нет</t>
        </is>
      </c>
      <c r="H1401">
        <f>VLOOKUP(C1401,Автомобили!$A$2:$G$1000,3,0)</f>
        <v/>
      </c>
      <c r="I1401">
        <f>VLOOKUP(D1401,Клиенты!$A$2:$D$1000,2,0)</f>
        <v/>
      </c>
      <c r="J1401">
        <f>IF(AND(H1401="Kaptur",I1401="Окраинов Л.Г.",YEAR(B1401)=2020),E1401,0)</f>
        <v/>
      </c>
    </row>
    <row r="1402">
      <c r="A1402" s="6" t="n">
        <v>1401</v>
      </c>
      <c r="B1402" s="13" t="n">
        <v>44181</v>
      </c>
      <c r="C1402" s="6" t="inlineStr">
        <is>
          <t>A58</t>
        </is>
      </c>
      <c r="D1402" s="6" t="n">
        <v>5</v>
      </c>
      <c r="E1402" s="15" t="n">
        <v>163</v>
      </c>
      <c r="F1402" s="5" t="inlineStr">
        <is>
          <t>нет</t>
        </is>
      </c>
      <c r="H1402">
        <f>VLOOKUP(C1402,Автомобили!$A$2:$G$1000,3,0)</f>
        <v/>
      </c>
      <c r="I1402">
        <f>VLOOKUP(D1402,Клиенты!$A$2:$D$1000,2,0)</f>
        <v/>
      </c>
      <c r="J1402">
        <f>IF(AND(H1402="Kaptur",I1402="Окраинов Л.Г.",YEAR(B1402)=2020),E1402,0)</f>
        <v/>
      </c>
    </row>
    <row r="1403">
      <c r="A1403" s="6" t="n">
        <v>1402</v>
      </c>
      <c r="B1403" s="13" t="n">
        <v>44181</v>
      </c>
      <c r="C1403" s="6" t="inlineStr">
        <is>
          <t>A23</t>
        </is>
      </c>
      <c r="D1403" s="6" t="n">
        <v>10</v>
      </c>
      <c r="E1403" s="15" t="n">
        <v>102</v>
      </c>
      <c r="F1403" s="5" t="inlineStr">
        <is>
          <t>нет</t>
        </is>
      </c>
      <c r="H1403">
        <f>VLOOKUP(C1403,Автомобили!$A$2:$G$1000,3,0)</f>
        <v/>
      </c>
      <c r="I1403">
        <f>VLOOKUP(D1403,Клиенты!$A$2:$D$1000,2,0)</f>
        <v/>
      </c>
      <c r="J1403">
        <f>IF(AND(H1403="Kaptur",I1403="Окраинов Л.Г.",YEAR(B1403)=2020),E1403,0)</f>
        <v/>
      </c>
    </row>
    <row r="1404">
      <c r="A1404" s="6" t="n">
        <v>1403</v>
      </c>
      <c r="B1404" s="13" t="n">
        <v>44181</v>
      </c>
      <c r="C1404" s="6" t="inlineStr">
        <is>
          <t>A24</t>
        </is>
      </c>
      <c r="D1404" s="6" t="n">
        <v>1</v>
      </c>
      <c r="E1404" s="15" t="n">
        <v>447</v>
      </c>
      <c r="F1404" s="5" t="inlineStr">
        <is>
          <t>нет</t>
        </is>
      </c>
      <c r="H1404">
        <f>VLOOKUP(C1404,Автомобили!$A$2:$G$1000,3,0)</f>
        <v/>
      </c>
      <c r="I1404">
        <f>VLOOKUP(D1404,Клиенты!$A$2:$D$1000,2,0)</f>
        <v/>
      </c>
      <c r="J1404">
        <f>IF(AND(H1404="Kaptur",I1404="Окраинов Л.Г.",YEAR(B1404)=2020),E1404,0)</f>
        <v/>
      </c>
    </row>
    <row r="1405">
      <c r="A1405" s="6" t="n">
        <v>1404</v>
      </c>
      <c r="B1405" s="13" t="n">
        <v>44181</v>
      </c>
      <c r="C1405" s="6" t="inlineStr">
        <is>
          <t>A47</t>
        </is>
      </c>
      <c r="D1405" s="6" t="n">
        <v>1</v>
      </c>
      <c r="E1405" s="15" t="n">
        <v>122</v>
      </c>
      <c r="F1405" s="5" t="inlineStr">
        <is>
          <t>нет</t>
        </is>
      </c>
      <c r="H1405">
        <f>VLOOKUP(C1405,Автомобили!$A$2:$G$1000,3,0)</f>
        <v/>
      </c>
      <c r="I1405">
        <f>VLOOKUP(D1405,Клиенты!$A$2:$D$1000,2,0)</f>
        <v/>
      </c>
      <c r="J1405">
        <f>IF(AND(H1405="Kaptur",I1405="Окраинов Л.Г.",YEAR(B1405)=2020),E1405,0)</f>
        <v/>
      </c>
    </row>
    <row r="1406">
      <c r="A1406" s="6" t="n">
        <v>1405</v>
      </c>
      <c r="B1406" s="13" t="n">
        <v>44182</v>
      </c>
      <c r="C1406" s="6" t="inlineStr">
        <is>
          <t>A17</t>
        </is>
      </c>
      <c r="D1406" s="6" t="n">
        <v>6</v>
      </c>
      <c r="E1406" s="15" t="n">
        <v>211</v>
      </c>
      <c r="F1406" s="5" t="inlineStr">
        <is>
          <t>нет</t>
        </is>
      </c>
      <c r="H1406">
        <f>VLOOKUP(C1406,Автомобили!$A$2:$G$1000,3,0)</f>
        <v/>
      </c>
      <c r="I1406">
        <f>VLOOKUP(D1406,Клиенты!$A$2:$D$1000,2,0)</f>
        <v/>
      </c>
      <c r="J1406">
        <f>IF(AND(H1406="Kaptur",I1406="Окраинов Л.Г.",YEAR(B1406)=2020),E1406,0)</f>
        <v/>
      </c>
    </row>
    <row r="1407">
      <c r="A1407" s="6" t="n">
        <v>1406</v>
      </c>
      <c r="B1407" s="13" t="n">
        <v>44182</v>
      </c>
      <c r="C1407" s="6" t="inlineStr">
        <is>
          <t>A49</t>
        </is>
      </c>
      <c r="D1407" s="6" t="n">
        <v>12</v>
      </c>
      <c r="E1407" s="15" t="n">
        <v>448</v>
      </c>
      <c r="F1407" s="5" t="inlineStr">
        <is>
          <t>нет</t>
        </is>
      </c>
      <c r="H1407">
        <f>VLOOKUP(C1407,Автомобили!$A$2:$G$1000,3,0)</f>
        <v/>
      </c>
      <c r="I1407">
        <f>VLOOKUP(D1407,Клиенты!$A$2:$D$1000,2,0)</f>
        <v/>
      </c>
      <c r="J1407">
        <f>IF(AND(H1407="Kaptur",I1407="Окраинов Л.Г.",YEAR(B1407)=2020),E1407,0)</f>
        <v/>
      </c>
    </row>
    <row r="1408">
      <c r="A1408" s="6" t="n">
        <v>1407</v>
      </c>
      <c r="B1408" s="13" t="n">
        <v>44182</v>
      </c>
      <c r="C1408" s="6" t="inlineStr">
        <is>
          <t>A64</t>
        </is>
      </c>
      <c r="D1408" s="6" t="n">
        <v>10</v>
      </c>
      <c r="E1408" s="15" t="n">
        <v>261</v>
      </c>
      <c r="F1408" s="5" t="inlineStr">
        <is>
          <t>нет</t>
        </is>
      </c>
      <c r="H1408">
        <f>VLOOKUP(C1408,Автомобили!$A$2:$G$1000,3,0)</f>
        <v/>
      </c>
      <c r="I1408">
        <f>VLOOKUP(D1408,Клиенты!$A$2:$D$1000,2,0)</f>
        <v/>
      </c>
      <c r="J1408">
        <f>IF(AND(H1408="Kaptur",I1408="Окраинов Л.Г.",YEAR(B1408)=2020),E1408,0)</f>
        <v/>
      </c>
    </row>
    <row r="1409">
      <c r="A1409" s="6" t="n">
        <v>1408</v>
      </c>
      <c r="B1409" s="13" t="n">
        <v>44182</v>
      </c>
      <c r="C1409" s="6" t="inlineStr">
        <is>
          <t>A9</t>
        </is>
      </c>
      <c r="D1409" s="6" t="n">
        <v>7</v>
      </c>
      <c r="E1409" s="15" t="n">
        <v>443</v>
      </c>
      <c r="F1409" s="5" t="inlineStr">
        <is>
          <t>нет</t>
        </is>
      </c>
      <c r="H1409">
        <f>VLOOKUP(C1409,Автомобили!$A$2:$G$1000,3,0)</f>
        <v/>
      </c>
      <c r="I1409">
        <f>VLOOKUP(D1409,Клиенты!$A$2:$D$1000,2,0)</f>
        <v/>
      </c>
      <c r="J1409">
        <f>IF(AND(H1409="Kaptur",I1409="Окраинов Л.Г.",YEAR(B1409)=2020),E1409,0)</f>
        <v/>
      </c>
    </row>
    <row r="1410">
      <c r="A1410" s="6" t="n">
        <v>1409</v>
      </c>
      <c r="B1410" s="13" t="n">
        <v>44183</v>
      </c>
      <c r="C1410" s="6" t="inlineStr">
        <is>
          <t>A30</t>
        </is>
      </c>
      <c r="D1410" s="6" t="n">
        <v>13</v>
      </c>
      <c r="E1410" s="15" t="n">
        <v>332</v>
      </c>
      <c r="F1410" s="5" t="inlineStr">
        <is>
          <t>нет</t>
        </is>
      </c>
      <c r="H1410">
        <f>VLOOKUP(C1410,Автомобили!$A$2:$G$1000,3,0)</f>
        <v/>
      </c>
      <c r="I1410">
        <f>VLOOKUP(D1410,Клиенты!$A$2:$D$1000,2,0)</f>
        <v/>
      </c>
      <c r="J1410">
        <f>IF(AND(H1410="Kaptur",I1410="Окраинов Л.Г.",YEAR(B1410)=2020),E1410,0)</f>
        <v/>
      </c>
    </row>
    <row r="1411">
      <c r="A1411" s="6" t="n">
        <v>1410</v>
      </c>
      <c r="B1411" s="13" t="n">
        <v>44183</v>
      </c>
      <c r="C1411" s="6" t="inlineStr">
        <is>
          <t>A23</t>
        </is>
      </c>
      <c r="D1411" s="6" t="n">
        <v>15</v>
      </c>
      <c r="E1411" s="15" t="n">
        <v>186</v>
      </c>
      <c r="F1411" s="5" t="inlineStr">
        <is>
          <t>нет</t>
        </is>
      </c>
      <c r="H1411">
        <f>VLOOKUP(C1411,Автомобили!$A$2:$G$1000,3,0)</f>
        <v/>
      </c>
      <c r="I1411">
        <f>VLOOKUP(D1411,Клиенты!$A$2:$D$1000,2,0)</f>
        <v/>
      </c>
      <c r="J1411">
        <f>IF(AND(H1411="Kaptur",I1411="Окраинов Л.Г.",YEAR(B1411)=2020),E1411,0)</f>
        <v/>
      </c>
    </row>
    <row r="1412">
      <c r="A1412" s="6" t="n">
        <v>1411</v>
      </c>
      <c r="B1412" s="13" t="n">
        <v>44183</v>
      </c>
      <c r="C1412" s="6" t="inlineStr">
        <is>
          <t>A54</t>
        </is>
      </c>
      <c r="D1412" s="6" t="n">
        <v>6</v>
      </c>
      <c r="E1412" s="15" t="n">
        <v>77</v>
      </c>
      <c r="F1412" s="5" t="inlineStr">
        <is>
          <t>нет</t>
        </is>
      </c>
      <c r="H1412">
        <f>VLOOKUP(C1412,Автомобили!$A$2:$G$1000,3,0)</f>
        <v/>
      </c>
      <c r="I1412">
        <f>VLOOKUP(D1412,Клиенты!$A$2:$D$1000,2,0)</f>
        <v/>
      </c>
      <c r="J1412">
        <f>IF(AND(H1412="Kaptur",I1412="Окраинов Л.Г.",YEAR(B1412)=2020),E1412,0)</f>
        <v/>
      </c>
    </row>
    <row r="1413">
      <c r="A1413" s="6" t="n">
        <v>1412</v>
      </c>
      <c r="B1413" s="13" t="n">
        <v>44183</v>
      </c>
      <c r="C1413" s="6" t="inlineStr">
        <is>
          <t>A44</t>
        </is>
      </c>
      <c r="D1413" s="6" t="n">
        <v>4</v>
      </c>
      <c r="E1413" s="15" t="n">
        <v>112</v>
      </c>
      <c r="F1413" s="5" t="inlineStr">
        <is>
          <t>нет</t>
        </is>
      </c>
      <c r="H1413">
        <f>VLOOKUP(C1413,Автомобили!$A$2:$G$1000,3,0)</f>
        <v/>
      </c>
      <c r="I1413">
        <f>VLOOKUP(D1413,Клиенты!$A$2:$D$1000,2,0)</f>
        <v/>
      </c>
      <c r="J1413">
        <f>IF(AND(H1413="Kaptur",I1413="Окраинов Л.Г.",YEAR(B1413)=2020),E1413,0)</f>
        <v/>
      </c>
    </row>
    <row r="1414">
      <c r="A1414" s="6" t="n">
        <v>1413</v>
      </c>
      <c r="B1414" s="13" t="n">
        <v>44184</v>
      </c>
      <c r="C1414" s="6" t="inlineStr">
        <is>
          <t>A18</t>
        </is>
      </c>
      <c r="D1414" s="6" t="n">
        <v>6</v>
      </c>
      <c r="E1414" s="15" t="n">
        <v>235</v>
      </c>
      <c r="F1414" s="5" t="inlineStr">
        <is>
          <t>нет</t>
        </is>
      </c>
      <c r="H1414">
        <f>VLOOKUP(C1414,Автомобили!$A$2:$G$1000,3,0)</f>
        <v/>
      </c>
      <c r="I1414">
        <f>VLOOKUP(D1414,Клиенты!$A$2:$D$1000,2,0)</f>
        <v/>
      </c>
      <c r="J1414">
        <f>IF(AND(H1414="Kaptur",I1414="Окраинов Л.Г.",YEAR(B1414)=2020),E1414,0)</f>
        <v/>
      </c>
    </row>
    <row r="1415">
      <c r="A1415" s="6" t="n">
        <v>1414</v>
      </c>
      <c r="B1415" s="13" t="n">
        <v>44184</v>
      </c>
      <c r="C1415" s="6" t="inlineStr">
        <is>
          <t>A32</t>
        </is>
      </c>
      <c r="D1415" s="6" t="n">
        <v>3</v>
      </c>
      <c r="E1415" s="15" t="n">
        <v>120</v>
      </c>
      <c r="F1415" s="5" t="inlineStr">
        <is>
          <t>нет</t>
        </is>
      </c>
      <c r="H1415">
        <f>VLOOKUP(C1415,Автомобили!$A$2:$G$1000,3,0)</f>
        <v/>
      </c>
      <c r="I1415">
        <f>VLOOKUP(D1415,Клиенты!$A$2:$D$1000,2,0)</f>
        <v/>
      </c>
      <c r="J1415">
        <f>IF(AND(H1415="Kaptur",I1415="Окраинов Л.Г.",YEAR(B1415)=2020),E1415,0)</f>
        <v/>
      </c>
    </row>
    <row r="1416">
      <c r="A1416" s="6" t="n">
        <v>1415</v>
      </c>
      <c r="B1416" s="13" t="n">
        <v>44184</v>
      </c>
      <c r="C1416" s="6" t="inlineStr">
        <is>
          <t>A39</t>
        </is>
      </c>
      <c r="D1416" s="6" t="n">
        <v>13</v>
      </c>
      <c r="E1416" s="15" t="n">
        <v>175</v>
      </c>
      <c r="F1416" s="5" t="inlineStr">
        <is>
          <t>нет</t>
        </is>
      </c>
      <c r="H1416">
        <f>VLOOKUP(C1416,Автомобили!$A$2:$G$1000,3,0)</f>
        <v/>
      </c>
      <c r="I1416">
        <f>VLOOKUP(D1416,Клиенты!$A$2:$D$1000,2,0)</f>
        <v/>
      </c>
      <c r="J1416">
        <f>IF(AND(H1416="Kaptur",I1416="Окраинов Л.Г.",YEAR(B1416)=2020),E1416,0)</f>
        <v/>
      </c>
    </row>
    <row r="1417">
      <c r="A1417" s="6" t="n">
        <v>1416</v>
      </c>
      <c r="B1417" s="13" t="n">
        <v>44184</v>
      </c>
      <c r="C1417" s="6" t="inlineStr">
        <is>
          <t>A33</t>
        </is>
      </c>
      <c r="D1417" s="6" t="n">
        <v>13</v>
      </c>
      <c r="E1417" s="15" t="n">
        <v>248</v>
      </c>
      <c r="F1417" s="5" t="inlineStr">
        <is>
          <t>нет</t>
        </is>
      </c>
      <c r="H1417">
        <f>VLOOKUP(C1417,Автомобили!$A$2:$G$1000,3,0)</f>
        <v/>
      </c>
      <c r="I1417">
        <f>VLOOKUP(D1417,Клиенты!$A$2:$D$1000,2,0)</f>
        <v/>
      </c>
      <c r="J1417">
        <f>IF(AND(H1417="Kaptur",I1417="Окраинов Л.Г.",YEAR(B1417)=2020),E1417,0)</f>
        <v/>
      </c>
    </row>
    <row r="1418">
      <c r="A1418" s="6" t="n">
        <v>1417</v>
      </c>
      <c r="B1418" s="13" t="n">
        <v>44185</v>
      </c>
      <c r="C1418" s="6" t="inlineStr">
        <is>
          <t>A20</t>
        </is>
      </c>
      <c r="D1418" s="6" t="n">
        <v>13</v>
      </c>
      <c r="E1418" s="15" t="n">
        <v>296</v>
      </c>
      <c r="F1418" s="5" t="inlineStr">
        <is>
          <t>нет</t>
        </is>
      </c>
      <c r="H1418">
        <f>VLOOKUP(C1418,Автомобили!$A$2:$G$1000,3,0)</f>
        <v/>
      </c>
      <c r="I1418">
        <f>VLOOKUP(D1418,Клиенты!$A$2:$D$1000,2,0)</f>
        <v/>
      </c>
      <c r="J1418">
        <f>IF(AND(H1418="Kaptur",I1418="Окраинов Л.Г.",YEAR(B1418)=2020),E1418,0)</f>
        <v/>
      </c>
    </row>
    <row r="1419">
      <c r="A1419" s="6" t="n">
        <v>1418</v>
      </c>
      <c r="B1419" s="13" t="n">
        <v>44185</v>
      </c>
      <c r="C1419" s="6" t="inlineStr">
        <is>
          <t>A4</t>
        </is>
      </c>
      <c r="D1419" s="6" t="n">
        <v>12</v>
      </c>
      <c r="E1419" s="15" t="n">
        <v>435</v>
      </c>
      <c r="F1419" s="5" t="inlineStr">
        <is>
          <t>нет</t>
        </is>
      </c>
      <c r="H1419">
        <f>VLOOKUP(C1419,Автомобили!$A$2:$G$1000,3,0)</f>
        <v/>
      </c>
      <c r="I1419">
        <f>VLOOKUP(D1419,Клиенты!$A$2:$D$1000,2,0)</f>
        <v/>
      </c>
      <c r="J1419">
        <f>IF(AND(H1419="Kaptur",I1419="Окраинов Л.Г.",YEAR(B1419)=2020),E1419,0)</f>
        <v/>
      </c>
    </row>
    <row r="1420">
      <c r="A1420" s="6" t="n">
        <v>1419</v>
      </c>
      <c r="B1420" s="13" t="n">
        <v>44185</v>
      </c>
      <c r="C1420" s="6" t="inlineStr">
        <is>
          <t>A28</t>
        </is>
      </c>
      <c r="D1420" s="6" t="n">
        <v>9</v>
      </c>
      <c r="E1420" s="15" t="n">
        <v>338</v>
      </c>
      <c r="F1420" s="5" t="inlineStr">
        <is>
          <t>нет</t>
        </is>
      </c>
      <c r="H1420">
        <f>VLOOKUP(C1420,Автомобили!$A$2:$G$1000,3,0)</f>
        <v/>
      </c>
      <c r="I1420">
        <f>VLOOKUP(D1420,Клиенты!$A$2:$D$1000,2,0)</f>
        <v/>
      </c>
      <c r="J1420">
        <f>IF(AND(H1420="Kaptur",I1420="Окраинов Л.Г.",YEAR(B1420)=2020),E1420,0)</f>
        <v/>
      </c>
    </row>
    <row r="1421">
      <c r="A1421" s="6" t="n">
        <v>1420</v>
      </c>
      <c r="B1421" s="13" t="n">
        <v>44185</v>
      </c>
      <c r="C1421" s="6" t="inlineStr">
        <is>
          <t>A28</t>
        </is>
      </c>
      <c r="D1421" s="6" t="n">
        <v>5</v>
      </c>
      <c r="E1421" s="15" t="n">
        <v>360</v>
      </c>
      <c r="F1421" s="5" t="inlineStr">
        <is>
          <t>нет</t>
        </is>
      </c>
      <c r="H1421">
        <f>VLOOKUP(C1421,Автомобили!$A$2:$G$1000,3,0)</f>
        <v/>
      </c>
      <c r="I1421">
        <f>VLOOKUP(D1421,Клиенты!$A$2:$D$1000,2,0)</f>
        <v/>
      </c>
      <c r="J1421">
        <f>IF(AND(H1421="Kaptur",I1421="Окраинов Л.Г.",YEAR(B1421)=2020),E1421,0)</f>
        <v/>
      </c>
    </row>
    <row r="1422">
      <c r="A1422" s="6" t="n">
        <v>1421</v>
      </c>
      <c r="B1422" s="13" t="n">
        <v>44186</v>
      </c>
      <c r="C1422" s="6" t="inlineStr">
        <is>
          <t>A9</t>
        </is>
      </c>
      <c r="D1422" s="6" t="n">
        <v>15</v>
      </c>
      <c r="E1422" s="15" t="n">
        <v>183</v>
      </c>
      <c r="F1422" s="5" t="inlineStr">
        <is>
          <t>нет</t>
        </is>
      </c>
      <c r="H1422">
        <f>VLOOKUP(C1422,Автомобили!$A$2:$G$1000,3,0)</f>
        <v/>
      </c>
      <c r="I1422">
        <f>VLOOKUP(D1422,Клиенты!$A$2:$D$1000,2,0)</f>
        <v/>
      </c>
      <c r="J1422">
        <f>IF(AND(H1422="Kaptur",I1422="Окраинов Л.Г.",YEAR(B1422)=2020),E1422,0)</f>
        <v/>
      </c>
    </row>
    <row r="1423">
      <c r="A1423" s="6" t="n">
        <v>1422</v>
      </c>
      <c r="B1423" s="13" t="n">
        <v>44186</v>
      </c>
      <c r="C1423" s="6" t="inlineStr">
        <is>
          <t>A5</t>
        </is>
      </c>
      <c r="D1423" s="6" t="n">
        <v>15</v>
      </c>
      <c r="E1423" s="15" t="n">
        <v>205</v>
      </c>
      <c r="F1423" s="5" t="inlineStr">
        <is>
          <t>нет</t>
        </is>
      </c>
      <c r="H1423">
        <f>VLOOKUP(C1423,Автомобили!$A$2:$G$1000,3,0)</f>
        <v/>
      </c>
      <c r="I1423">
        <f>VLOOKUP(D1423,Клиенты!$A$2:$D$1000,2,0)</f>
        <v/>
      </c>
      <c r="J1423">
        <f>IF(AND(H1423="Kaptur",I1423="Окраинов Л.Г.",YEAR(B1423)=2020),E1423,0)</f>
        <v/>
      </c>
    </row>
    <row r="1424">
      <c r="A1424" s="6" t="n">
        <v>1423</v>
      </c>
      <c r="B1424" s="13" t="n">
        <v>44186</v>
      </c>
      <c r="C1424" s="6" t="inlineStr">
        <is>
          <t>A8</t>
        </is>
      </c>
      <c r="D1424" s="6" t="n">
        <v>5</v>
      </c>
      <c r="E1424" s="15" t="n">
        <v>345</v>
      </c>
      <c r="F1424" s="5" t="inlineStr">
        <is>
          <t>нет</t>
        </is>
      </c>
      <c r="H1424">
        <f>VLOOKUP(C1424,Автомобили!$A$2:$G$1000,3,0)</f>
        <v/>
      </c>
      <c r="I1424">
        <f>VLOOKUP(D1424,Клиенты!$A$2:$D$1000,2,0)</f>
        <v/>
      </c>
      <c r="J1424">
        <f>IF(AND(H1424="Kaptur",I1424="Окраинов Л.Г.",YEAR(B1424)=2020),E1424,0)</f>
        <v/>
      </c>
    </row>
    <row r="1425">
      <c r="A1425" s="6" t="n">
        <v>1424</v>
      </c>
      <c r="B1425" s="13" t="n">
        <v>44186</v>
      </c>
      <c r="C1425" s="6" t="inlineStr">
        <is>
          <t>A5</t>
        </is>
      </c>
      <c r="D1425" s="6" t="n">
        <v>3</v>
      </c>
      <c r="E1425" s="15" t="n">
        <v>324</v>
      </c>
      <c r="F1425" s="5" t="inlineStr">
        <is>
          <t>нет</t>
        </is>
      </c>
      <c r="H1425">
        <f>VLOOKUP(C1425,Автомобили!$A$2:$G$1000,3,0)</f>
        <v/>
      </c>
      <c r="I1425">
        <f>VLOOKUP(D1425,Клиенты!$A$2:$D$1000,2,0)</f>
        <v/>
      </c>
      <c r="J1425">
        <f>IF(AND(H1425="Kaptur",I1425="Окраинов Л.Г.",YEAR(B1425)=2020),E1425,0)</f>
        <v/>
      </c>
    </row>
    <row r="1426">
      <c r="A1426" s="6" t="n">
        <v>1425</v>
      </c>
      <c r="B1426" s="13" t="n">
        <v>44187</v>
      </c>
      <c r="C1426" s="6" t="inlineStr">
        <is>
          <t>A11</t>
        </is>
      </c>
      <c r="D1426" s="6" t="n">
        <v>8</v>
      </c>
      <c r="E1426" s="15" t="n">
        <v>294</v>
      </c>
      <c r="F1426" s="5" t="inlineStr">
        <is>
          <t>нет</t>
        </is>
      </c>
      <c r="H1426">
        <f>VLOOKUP(C1426,Автомобили!$A$2:$G$1000,3,0)</f>
        <v/>
      </c>
      <c r="I1426">
        <f>VLOOKUP(D1426,Клиенты!$A$2:$D$1000,2,0)</f>
        <v/>
      </c>
      <c r="J1426">
        <f>IF(AND(H1426="Kaptur",I1426="Окраинов Л.Г.",YEAR(B1426)=2020),E1426,0)</f>
        <v/>
      </c>
    </row>
    <row r="1427">
      <c r="A1427" s="6" t="n">
        <v>1426</v>
      </c>
      <c r="B1427" s="13" t="n">
        <v>44187</v>
      </c>
      <c r="C1427" s="6" t="inlineStr">
        <is>
          <t>A58</t>
        </is>
      </c>
      <c r="D1427" s="6" t="n">
        <v>1</v>
      </c>
      <c r="E1427" s="15" t="n">
        <v>86</v>
      </c>
      <c r="F1427" s="5" t="inlineStr">
        <is>
          <t>нет</t>
        </is>
      </c>
      <c r="H1427">
        <f>VLOOKUP(C1427,Автомобили!$A$2:$G$1000,3,0)</f>
        <v/>
      </c>
      <c r="I1427">
        <f>VLOOKUP(D1427,Клиенты!$A$2:$D$1000,2,0)</f>
        <v/>
      </c>
      <c r="J1427">
        <f>IF(AND(H1427="Kaptur",I1427="Окраинов Л.Г.",YEAR(B1427)=2020),E1427,0)</f>
        <v/>
      </c>
    </row>
    <row r="1428">
      <c r="A1428" s="6" t="n">
        <v>1427</v>
      </c>
      <c r="B1428" s="13" t="n">
        <v>44187</v>
      </c>
      <c r="C1428" s="6" t="inlineStr">
        <is>
          <t>A46</t>
        </is>
      </c>
      <c r="D1428" s="6" t="n">
        <v>6</v>
      </c>
      <c r="E1428" s="15" t="n">
        <v>240</v>
      </c>
      <c r="F1428" s="5" t="inlineStr">
        <is>
          <t>нет</t>
        </is>
      </c>
      <c r="H1428">
        <f>VLOOKUP(C1428,Автомобили!$A$2:$G$1000,3,0)</f>
        <v/>
      </c>
      <c r="I1428">
        <f>VLOOKUP(D1428,Клиенты!$A$2:$D$1000,2,0)</f>
        <v/>
      </c>
      <c r="J1428">
        <f>IF(AND(H1428="Kaptur",I1428="Окраинов Л.Г.",YEAR(B1428)=2020),E1428,0)</f>
        <v/>
      </c>
    </row>
    <row r="1429">
      <c r="A1429" s="6" t="n">
        <v>1428</v>
      </c>
      <c r="B1429" s="13" t="n">
        <v>44187</v>
      </c>
      <c r="C1429" s="6" t="inlineStr">
        <is>
          <t>A39</t>
        </is>
      </c>
      <c r="D1429" s="6" t="n">
        <v>15</v>
      </c>
      <c r="E1429" s="15" t="n">
        <v>203</v>
      </c>
      <c r="F1429" s="5" t="inlineStr">
        <is>
          <t>нет</t>
        </is>
      </c>
      <c r="H1429">
        <f>VLOOKUP(C1429,Автомобили!$A$2:$G$1000,3,0)</f>
        <v/>
      </c>
      <c r="I1429">
        <f>VLOOKUP(D1429,Клиенты!$A$2:$D$1000,2,0)</f>
        <v/>
      </c>
      <c r="J1429">
        <f>IF(AND(H1429="Kaptur",I1429="Окраинов Л.Г.",YEAR(B1429)=2020),E1429,0)</f>
        <v/>
      </c>
    </row>
    <row r="1430">
      <c r="A1430" s="6" t="n">
        <v>1429</v>
      </c>
      <c r="B1430" s="13" t="n">
        <v>44188</v>
      </c>
      <c r="C1430" s="6" t="inlineStr">
        <is>
          <t>A14</t>
        </is>
      </c>
      <c r="D1430" s="6" t="n">
        <v>14</v>
      </c>
      <c r="E1430" s="15" t="n">
        <v>173</v>
      </c>
      <c r="F1430" s="5" t="inlineStr">
        <is>
          <t>нет</t>
        </is>
      </c>
      <c r="H1430">
        <f>VLOOKUP(C1430,Автомобили!$A$2:$G$1000,3,0)</f>
        <v/>
      </c>
      <c r="I1430">
        <f>VLOOKUP(D1430,Клиенты!$A$2:$D$1000,2,0)</f>
        <v/>
      </c>
      <c r="J1430">
        <f>IF(AND(H1430="Kaptur",I1430="Окраинов Л.Г.",YEAR(B1430)=2020),E1430,0)</f>
        <v/>
      </c>
    </row>
    <row r="1431">
      <c r="A1431" s="6" t="n">
        <v>1430</v>
      </c>
      <c r="B1431" s="13" t="n">
        <v>44188</v>
      </c>
      <c r="C1431" s="6" t="inlineStr">
        <is>
          <t>A16</t>
        </is>
      </c>
      <c r="D1431" s="6" t="n">
        <v>14</v>
      </c>
      <c r="E1431" s="15" t="n">
        <v>190</v>
      </c>
      <c r="F1431" s="5" t="inlineStr">
        <is>
          <t>нет</t>
        </is>
      </c>
      <c r="H1431">
        <f>VLOOKUP(C1431,Автомобили!$A$2:$G$1000,3,0)</f>
        <v/>
      </c>
      <c r="I1431">
        <f>VLOOKUP(D1431,Клиенты!$A$2:$D$1000,2,0)</f>
        <v/>
      </c>
      <c r="J1431">
        <f>IF(AND(H1431="Kaptur",I1431="Окраинов Л.Г.",YEAR(B1431)=2020),E1431,0)</f>
        <v/>
      </c>
    </row>
    <row r="1432">
      <c r="A1432" s="6" t="n">
        <v>1431</v>
      </c>
      <c r="B1432" s="13" t="n">
        <v>44188</v>
      </c>
      <c r="C1432" s="6" t="inlineStr">
        <is>
          <t>A48</t>
        </is>
      </c>
      <c r="D1432" s="6" t="n">
        <v>7</v>
      </c>
      <c r="E1432" s="15" t="n">
        <v>77</v>
      </c>
      <c r="F1432" s="5" t="inlineStr">
        <is>
          <t>нет</t>
        </is>
      </c>
      <c r="H1432">
        <f>VLOOKUP(C1432,Автомобили!$A$2:$G$1000,3,0)</f>
        <v/>
      </c>
      <c r="I1432">
        <f>VLOOKUP(D1432,Клиенты!$A$2:$D$1000,2,0)</f>
        <v/>
      </c>
      <c r="J1432">
        <f>IF(AND(H1432="Kaptur",I1432="Окраинов Л.Г.",YEAR(B1432)=2020),E1432,0)</f>
        <v/>
      </c>
    </row>
    <row r="1433">
      <c r="A1433" s="6" t="n">
        <v>1432</v>
      </c>
      <c r="B1433" s="13" t="n">
        <v>44188</v>
      </c>
      <c r="C1433" s="6" t="inlineStr">
        <is>
          <t>A48</t>
        </is>
      </c>
      <c r="D1433" s="6" t="n">
        <v>7</v>
      </c>
      <c r="E1433" s="15" t="n">
        <v>425</v>
      </c>
      <c r="F1433" s="5" t="inlineStr">
        <is>
          <t>нет</t>
        </is>
      </c>
      <c r="H1433">
        <f>VLOOKUP(C1433,Автомобили!$A$2:$G$1000,3,0)</f>
        <v/>
      </c>
      <c r="I1433">
        <f>VLOOKUP(D1433,Клиенты!$A$2:$D$1000,2,0)</f>
        <v/>
      </c>
      <c r="J1433">
        <f>IF(AND(H1433="Kaptur",I1433="Окраинов Л.Г.",YEAR(B1433)=2020),E1433,0)</f>
        <v/>
      </c>
    </row>
    <row r="1434">
      <c r="A1434" s="6" t="n">
        <v>1433</v>
      </c>
      <c r="B1434" s="13" t="n">
        <v>44189</v>
      </c>
      <c r="C1434" s="6" t="inlineStr">
        <is>
          <t>A25</t>
        </is>
      </c>
      <c r="D1434" s="6" t="n">
        <v>5</v>
      </c>
      <c r="E1434" s="15" t="n">
        <v>437</v>
      </c>
      <c r="F1434" s="5" t="inlineStr">
        <is>
          <t>нет</t>
        </is>
      </c>
      <c r="H1434">
        <f>VLOOKUP(C1434,Автомобили!$A$2:$G$1000,3,0)</f>
        <v/>
      </c>
      <c r="I1434">
        <f>VLOOKUP(D1434,Клиенты!$A$2:$D$1000,2,0)</f>
        <v/>
      </c>
      <c r="J1434">
        <f>IF(AND(H1434="Kaptur",I1434="Окраинов Л.Г.",YEAR(B1434)=2020),E1434,0)</f>
        <v/>
      </c>
    </row>
    <row r="1435">
      <c r="A1435" s="6" t="n">
        <v>1434</v>
      </c>
      <c r="B1435" s="13" t="n">
        <v>44189</v>
      </c>
      <c r="C1435" s="6" t="inlineStr">
        <is>
          <t>A10</t>
        </is>
      </c>
      <c r="D1435" s="6" t="n">
        <v>13</v>
      </c>
      <c r="E1435" s="15" t="n">
        <v>424</v>
      </c>
      <c r="F1435" s="5" t="inlineStr">
        <is>
          <t>нет</t>
        </is>
      </c>
      <c r="H1435">
        <f>VLOOKUP(C1435,Автомобили!$A$2:$G$1000,3,0)</f>
        <v/>
      </c>
      <c r="I1435">
        <f>VLOOKUP(D1435,Клиенты!$A$2:$D$1000,2,0)</f>
        <v/>
      </c>
      <c r="J1435">
        <f>IF(AND(H1435="Kaptur",I1435="Окраинов Л.Г.",YEAR(B1435)=2020),E1435,0)</f>
        <v/>
      </c>
    </row>
    <row r="1436">
      <c r="A1436" s="6" t="n">
        <v>1435</v>
      </c>
      <c r="B1436" s="13" t="n">
        <v>44189</v>
      </c>
      <c r="C1436" s="6" t="inlineStr">
        <is>
          <t>A54</t>
        </is>
      </c>
      <c r="D1436" s="6" t="n">
        <v>8</v>
      </c>
      <c r="E1436" s="15" t="n">
        <v>178</v>
      </c>
      <c r="F1436" s="5" t="inlineStr">
        <is>
          <t>нет</t>
        </is>
      </c>
      <c r="H1436">
        <f>VLOOKUP(C1436,Автомобили!$A$2:$G$1000,3,0)</f>
        <v/>
      </c>
      <c r="I1436">
        <f>VLOOKUP(D1436,Клиенты!$A$2:$D$1000,2,0)</f>
        <v/>
      </c>
      <c r="J1436">
        <f>IF(AND(H1436="Kaptur",I1436="Окраинов Л.Г.",YEAR(B1436)=2020),E1436,0)</f>
        <v/>
      </c>
    </row>
    <row r="1437">
      <c r="A1437" s="6" t="n">
        <v>1436</v>
      </c>
      <c r="B1437" s="13" t="n">
        <v>44189</v>
      </c>
      <c r="C1437" s="6" t="inlineStr">
        <is>
          <t>A14</t>
        </is>
      </c>
      <c r="D1437" s="6" t="n">
        <v>10</v>
      </c>
      <c r="E1437" s="15" t="n">
        <v>262</v>
      </c>
      <c r="F1437" s="5" t="inlineStr">
        <is>
          <t>нет</t>
        </is>
      </c>
      <c r="H1437">
        <f>VLOOKUP(C1437,Автомобили!$A$2:$G$1000,3,0)</f>
        <v/>
      </c>
      <c r="I1437">
        <f>VLOOKUP(D1437,Клиенты!$A$2:$D$1000,2,0)</f>
        <v/>
      </c>
      <c r="J1437">
        <f>IF(AND(H1437="Kaptur",I1437="Окраинов Л.Г.",YEAR(B1437)=2020),E1437,0)</f>
        <v/>
      </c>
    </row>
    <row r="1438">
      <c r="A1438" s="6" t="n">
        <v>1437</v>
      </c>
      <c r="B1438" s="13" t="n">
        <v>44190</v>
      </c>
      <c r="C1438" s="6" t="inlineStr">
        <is>
          <t>A20</t>
        </is>
      </c>
      <c r="D1438" s="6" t="n">
        <v>2</v>
      </c>
      <c r="E1438" s="15" t="n">
        <v>445</v>
      </c>
      <c r="F1438" s="5" t="inlineStr">
        <is>
          <t>нет</t>
        </is>
      </c>
      <c r="H1438">
        <f>VLOOKUP(C1438,Автомобили!$A$2:$G$1000,3,0)</f>
        <v/>
      </c>
      <c r="I1438">
        <f>VLOOKUP(D1438,Клиенты!$A$2:$D$1000,2,0)</f>
        <v/>
      </c>
      <c r="J1438">
        <f>IF(AND(H1438="Kaptur",I1438="Окраинов Л.Г.",YEAR(B1438)=2020),E1438,0)</f>
        <v/>
      </c>
    </row>
    <row r="1439">
      <c r="A1439" s="6" t="n">
        <v>1438</v>
      </c>
      <c r="B1439" s="13" t="n">
        <v>44190</v>
      </c>
      <c r="C1439" s="6" t="inlineStr">
        <is>
          <t>A43</t>
        </is>
      </c>
      <c r="D1439" s="6" t="n">
        <v>9</v>
      </c>
      <c r="E1439" s="15" t="n">
        <v>240</v>
      </c>
      <c r="F1439" s="5" t="inlineStr">
        <is>
          <t>нет</t>
        </is>
      </c>
      <c r="H1439">
        <f>VLOOKUP(C1439,Автомобили!$A$2:$G$1000,3,0)</f>
        <v/>
      </c>
      <c r="I1439">
        <f>VLOOKUP(D1439,Клиенты!$A$2:$D$1000,2,0)</f>
        <v/>
      </c>
      <c r="J1439">
        <f>IF(AND(H1439="Kaptur",I1439="Окраинов Л.Г.",YEAR(B1439)=2020),E1439,0)</f>
        <v/>
      </c>
    </row>
    <row r="1440">
      <c r="A1440" s="6" t="n">
        <v>1439</v>
      </c>
      <c r="B1440" s="13" t="n">
        <v>44190</v>
      </c>
      <c r="C1440" s="6" t="inlineStr">
        <is>
          <t>A35</t>
        </is>
      </c>
      <c r="D1440" s="6" t="n">
        <v>6</v>
      </c>
      <c r="E1440" s="15" t="n">
        <v>285</v>
      </c>
      <c r="F1440" s="5" t="inlineStr">
        <is>
          <t>нет</t>
        </is>
      </c>
      <c r="H1440">
        <f>VLOOKUP(C1440,Автомобили!$A$2:$G$1000,3,0)</f>
        <v/>
      </c>
      <c r="I1440">
        <f>VLOOKUP(D1440,Клиенты!$A$2:$D$1000,2,0)</f>
        <v/>
      </c>
      <c r="J1440">
        <f>IF(AND(H1440="Kaptur",I1440="Окраинов Л.Г.",YEAR(B1440)=2020),E1440,0)</f>
        <v/>
      </c>
    </row>
    <row r="1441">
      <c r="A1441" s="6" t="n">
        <v>1440</v>
      </c>
      <c r="B1441" s="13" t="n">
        <v>44190</v>
      </c>
      <c r="C1441" s="6" t="inlineStr">
        <is>
          <t>A24</t>
        </is>
      </c>
      <c r="D1441" s="6" t="n">
        <v>14</v>
      </c>
      <c r="E1441" s="15" t="n">
        <v>358</v>
      </c>
      <c r="F1441" s="5" t="inlineStr">
        <is>
          <t>нет</t>
        </is>
      </c>
      <c r="H1441">
        <f>VLOOKUP(C1441,Автомобили!$A$2:$G$1000,3,0)</f>
        <v/>
      </c>
      <c r="I1441">
        <f>VLOOKUP(D1441,Клиенты!$A$2:$D$1000,2,0)</f>
        <v/>
      </c>
      <c r="J1441">
        <f>IF(AND(H1441="Kaptur",I1441="Окраинов Л.Г.",YEAR(B1441)=2020),E1441,0)</f>
        <v/>
      </c>
    </row>
    <row r="1442">
      <c r="A1442" s="6" t="n">
        <v>1441</v>
      </c>
      <c r="B1442" s="13" t="n">
        <v>44191</v>
      </c>
      <c r="C1442" s="6" t="inlineStr">
        <is>
          <t>A44</t>
        </is>
      </c>
      <c r="D1442" s="6" t="n">
        <v>2</v>
      </c>
      <c r="E1442" s="15" t="n">
        <v>296</v>
      </c>
      <c r="F1442" s="5" t="inlineStr">
        <is>
          <t>нет</t>
        </is>
      </c>
      <c r="H1442">
        <f>VLOOKUP(C1442,Автомобили!$A$2:$G$1000,3,0)</f>
        <v/>
      </c>
      <c r="I1442">
        <f>VLOOKUP(D1442,Клиенты!$A$2:$D$1000,2,0)</f>
        <v/>
      </c>
      <c r="J1442">
        <f>IF(AND(H1442="Kaptur",I1442="Окраинов Л.Г.",YEAR(B1442)=2020),E1442,0)</f>
        <v/>
      </c>
    </row>
    <row r="1443">
      <c r="A1443" s="6" t="n">
        <v>1442</v>
      </c>
      <c r="B1443" s="13" t="n">
        <v>44191</v>
      </c>
      <c r="C1443" s="6" t="inlineStr">
        <is>
          <t>A34</t>
        </is>
      </c>
      <c r="D1443" s="6" t="n">
        <v>11</v>
      </c>
      <c r="E1443" s="15" t="n">
        <v>300</v>
      </c>
      <c r="F1443" s="5" t="inlineStr">
        <is>
          <t>нет</t>
        </is>
      </c>
      <c r="H1443">
        <f>VLOOKUP(C1443,Автомобили!$A$2:$G$1000,3,0)</f>
        <v/>
      </c>
      <c r="I1443">
        <f>VLOOKUP(D1443,Клиенты!$A$2:$D$1000,2,0)</f>
        <v/>
      </c>
      <c r="J1443">
        <f>IF(AND(H1443="Kaptur",I1443="Окраинов Л.Г.",YEAR(B1443)=2020),E1443,0)</f>
        <v/>
      </c>
    </row>
    <row r="1444">
      <c r="A1444" s="6" t="n">
        <v>1443</v>
      </c>
      <c r="B1444" s="13" t="n">
        <v>44191</v>
      </c>
      <c r="C1444" s="6" t="inlineStr">
        <is>
          <t>A46</t>
        </is>
      </c>
      <c r="D1444" s="6" t="n">
        <v>3</v>
      </c>
      <c r="E1444" s="15" t="n">
        <v>430</v>
      </c>
      <c r="F1444" s="5" t="inlineStr">
        <is>
          <t>нет</t>
        </is>
      </c>
      <c r="H1444">
        <f>VLOOKUP(C1444,Автомобили!$A$2:$G$1000,3,0)</f>
        <v/>
      </c>
      <c r="I1444">
        <f>VLOOKUP(D1444,Клиенты!$A$2:$D$1000,2,0)</f>
        <v/>
      </c>
      <c r="J1444">
        <f>IF(AND(H1444="Kaptur",I1444="Окраинов Л.Г.",YEAR(B1444)=2020),E1444,0)</f>
        <v/>
      </c>
    </row>
    <row r="1445">
      <c r="A1445" s="6" t="n">
        <v>1444</v>
      </c>
      <c r="B1445" s="13" t="n">
        <v>44191</v>
      </c>
      <c r="C1445" s="6" t="inlineStr">
        <is>
          <t>A39</t>
        </is>
      </c>
      <c r="D1445" s="6" t="n">
        <v>3</v>
      </c>
      <c r="E1445" s="15" t="n">
        <v>394</v>
      </c>
      <c r="F1445" s="5" t="inlineStr">
        <is>
          <t>нет</t>
        </is>
      </c>
      <c r="H1445">
        <f>VLOOKUP(C1445,Автомобили!$A$2:$G$1000,3,0)</f>
        <v/>
      </c>
      <c r="I1445">
        <f>VLOOKUP(D1445,Клиенты!$A$2:$D$1000,2,0)</f>
        <v/>
      </c>
      <c r="J1445">
        <f>IF(AND(H1445="Kaptur",I1445="Окраинов Л.Г.",YEAR(B1445)=2020),E1445,0)</f>
        <v/>
      </c>
    </row>
    <row r="1446">
      <c r="A1446" s="6" t="n">
        <v>1445</v>
      </c>
      <c r="B1446" s="13" t="n">
        <v>44192</v>
      </c>
      <c r="C1446" s="6" t="inlineStr">
        <is>
          <t>A59</t>
        </is>
      </c>
      <c r="D1446" s="6" t="n">
        <v>2</v>
      </c>
      <c r="E1446" s="15" t="n">
        <v>336</v>
      </c>
      <c r="F1446" s="5" t="inlineStr">
        <is>
          <t>нет</t>
        </is>
      </c>
      <c r="H1446">
        <f>VLOOKUP(C1446,Автомобили!$A$2:$G$1000,3,0)</f>
        <v/>
      </c>
      <c r="I1446">
        <f>VLOOKUP(D1446,Клиенты!$A$2:$D$1000,2,0)</f>
        <v/>
      </c>
      <c r="J1446">
        <f>IF(AND(H1446="Kaptur",I1446="Окраинов Л.Г.",YEAR(B1446)=2020),E1446,0)</f>
        <v/>
      </c>
    </row>
    <row r="1447">
      <c r="A1447" s="6" t="n">
        <v>1446</v>
      </c>
      <c r="B1447" s="13" t="n">
        <v>44192</v>
      </c>
      <c r="C1447" s="6" t="inlineStr">
        <is>
          <t>A56</t>
        </is>
      </c>
      <c r="D1447" s="6" t="n">
        <v>2</v>
      </c>
      <c r="E1447" s="15" t="n">
        <v>283</v>
      </c>
      <c r="F1447" s="5" t="inlineStr">
        <is>
          <t>нет</t>
        </is>
      </c>
      <c r="H1447">
        <f>VLOOKUP(C1447,Автомобили!$A$2:$G$1000,3,0)</f>
        <v/>
      </c>
      <c r="I1447">
        <f>VLOOKUP(D1447,Клиенты!$A$2:$D$1000,2,0)</f>
        <v/>
      </c>
      <c r="J1447">
        <f>IF(AND(H1447="Kaptur",I1447="Окраинов Л.Г.",YEAR(B1447)=2020),E1447,0)</f>
        <v/>
      </c>
    </row>
    <row r="1448">
      <c r="A1448" s="6" t="n">
        <v>1447</v>
      </c>
      <c r="B1448" s="13" t="n">
        <v>44192</v>
      </c>
      <c r="C1448" s="6" t="inlineStr">
        <is>
          <t>A15</t>
        </is>
      </c>
      <c r="D1448" s="6" t="n">
        <v>8</v>
      </c>
      <c r="E1448" s="15" t="n">
        <v>279</v>
      </c>
      <c r="F1448" s="5" t="inlineStr">
        <is>
          <t>нет</t>
        </is>
      </c>
      <c r="H1448">
        <f>VLOOKUP(C1448,Автомобили!$A$2:$G$1000,3,0)</f>
        <v/>
      </c>
      <c r="I1448">
        <f>VLOOKUP(D1448,Клиенты!$A$2:$D$1000,2,0)</f>
        <v/>
      </c>
      <c r="J1448">
        <f>IF(AND(H1448="Kaptur",I1448="Окраинов Л.Г.",YEAR(B1448)=2020),E1448,0)</f>
        <v/>
      </c>
    </row>
    <row r="1449">
      <c r="A1449" s="6" t="n">
        <v>1448</v>
      </c>
      <c r="B1449" s="13" t="n">
        <v>44192</v>
      </c>
      <c r="C1449" s="6" t="inlineStr">
        <is>
          <t>A34</t>
        </is>
      </c>
      <c r="D1449" s="6" t="n">
        <v>5</v>
      </c>
      <c r="E1449" s="15" t="n">
        <v>227</v>
      </c>
      <c r="F1449" s="5" t="inlineStr">
        <is>
          <t>нет</t>
        </is>
      </c>
      <c r="H1449">
        <f>VLOOKUP(C1449,Автомобили!$A$2:$G$1000,3,0)</f>
        <v/>
      </c>
      <c r="I1449">
        <f>VLOOKUP(D1449,Клиенты!$A$2:$D$1000,2,0)</f>
        <v/>
      </c>
      <c r="J1449">
        <f>IF(AND(H1449="Kaptur",I1449="Окраинов Л.Г.",YEAR(B1449)=2020),E1449,0)</f>
        <v/>
      </c>
    </row>
    <row r="1450">
      <c r="A1450" s="6" t="n">
        <v>1449</v>
      </c>
      <c r="B1450" s="13" t="n">
        <v>44193</v>
      </c>
      <c r="C1450" s="6" t="inlineStr">
        <is>
          <t>A43</t>
        </is>
      </c>
      <c r="D1450" s="6" t="n">
        <v>6</v>
      </c>
      <c r="E1450" s="15" t="n">
        <v>196</v>
      </c>
      <c r="F1450" s="5" t="inlineStr">
        <is>
          <t>нет</t>
        </is>
      </c>
      <c r="H1450">
        <f>VLOOKUP(C1450,Автомобили!$A$2:$G$1000,3,0)</f>
        <v/>
      </c>
      <c r="I1450">
        <f>VLOOKUP(D1450,Клиенты!$A$2:$D$1000,2,0)</f>
        <v/>
      </c>
      <c r="J1450">
        <f>IF(AND(H1450="Kaptur",I1450="Окраинов Л.Г.",YEAR(B1450)=2020),E1450,0)</f>
        <v/>
      </c>
    </row>
    <row r="1451">
      <c r="A1451" s="6" t="n">
        <v>1450</v>
      </c>
      <c r="B1451" s="13" t="n">
        <v>44193</v>
      </c>
      <c r="C1451" s="6" t="inlineStr">
        <is>
          <t>A58</t>
        </is>
      </c>
      <c r="D1451" s="6" t="n">
        <v>13</v>
      </c>
      <c r="E1451" s="15" t="n">
        <v>333</v>
      </c>
      <c r="F1451" s="5" t="inlineStr">
        <is>
          <t>нет</t>
        </is>
      </c>
      <c r="H1451">
        <f>VLOOKUP(C1451,Автомобили!$A$2:$G$1000,3,0)</f>
        <v/>
      </c>
      <c r="I1451">
        <f>VLOOKUP(D1451,Клиенты!$A$2:$D$1000,2,0)</f>
        <v/>
      </c>
      <c r="J1451">
        <f>IF(AND(H1451="Kaptur",I1451="Окраинов Л.Г.",YEAR(B1451)=2020),E1451,0)</f>
        <v/>
      </c>
    </row>
    <row r="1452">
      <c r="A1452" s="6" t="n">
        <v>1451</v>
      </c>
      <c r="B1452" s="13" t="n">
        <v>44193</v>
      </c>
      <c r="C1452" s="6" t="inlineStr">
        <is>
          <t>A10</t>
        </is>
      </c>
      <c r="D1452" s="6" t="n">
        <v>4</v>
      </c>
      <c r="E1452" s="15" t="n">
        <v>385</v>
      </c>
      <c r="F1452" s="5" t="inlineStr">
        <is>
          <t>нет</t>
        </is>
      </c>
      <c r="H1452">
        <f>VLOOKUP(C1452,Автомобили!$A$2:$G$1000,3,0)</f>
        <v/>
      </c>
      <c r="I1452">
        <f>VLOOKUP(D1452,Клиенты!$A$2:$D$1000,2,0)</f>
        <v/>
      </c>
      <c r="J1452">
        <f>IF(AND(H1452="Kaptur",I1452="Окраинов Л.Г.",YEAR(B1452)=2020),E1452,0)</f>
        <v/>
      </c>
    </row>
    <row r="1453">
      <c r="A1453" s="6" t="n">
        <v>1452</v>
      </c>
      <c r="B1453" s="13" t="n">
        <v>44193</v>
      </c>
      <c r="C1453" s="6" t="inlineStr">
        <is>
          <t>A58</t>
        </is>
      </c>
      <c r="D1453" s="6" t="n">
        <v>4</v>
      </c>
      <c r="E1453" s="15" t="n">
        <v>240</v>
      </c>
      <c r="F1453" s="5" t="inlineStr">
        <is>
          <t>нет</t>
        </is>
      </c>
      <c r="H1453">
        <f>VLOOKUP(C1453,Автомобили!$A$2:$G$1000,3,0)</f>
        <v/>
      </c>
      <c r="I1453">
        <f>VLOOKUP(D1453,Клиенты!$A$2:$D$1000,2,0)</f>
        <v/>
      </c>
      <c r="J1453">
        <f>IF(AND(H1453="Kaptur",I1453="Окраинов Л.Г.",YEAR(B1453)=2020),E1453,0)</f>
        <v/>
      </c>
    </row>
    <row r="1454">
      <c r="A1454" s="6" t="n">
        <v>1453</v>
      </c>
      <c r="B1454" s="13" t="n">
        <v>44194</v>
      </c>
      <c r="C1454" s="6" t="inlineStr">
        <is>
          <t>A5</t>
        </is>
      </c>
      <c r="D1454" s="6" t="n">
        <v>8</v>
      </c>
      <c r="E1454" s="15" t="n">
        <v>439</v>
      </c>
      <c r="F1454" s="5" t="inlineStr">
        <is>
          <t>нет</t>
        </is>
      </c>
      <c r="H1454">
        <f>VLOOKUP(C1454,Автомобили!$A$2:$G$1000,3,0)</f>
        <v/>
      </c>
      <c r="I1454">
        <f>VLOOKUP(D1454,Клиенты!$A$2:$D$1000,2,0)</f>
        <v/>
      </c>
      <c r="J1454">
        <f>IF(AND(H1454="Kaptur",I1454="Окраинов Л.Г.",YEAR(B1454)=2020),E1454,0)</f>
        <v/>
      </c>
    </row>
    <row r="1455">
      <c r="A1455" s="6" t="n">
        <v>1454</v>
      </c>
      <c r="B1455" s="13" t="n">
        <v>44194</v>
      </c>
      <c r="C1455" s="6" t="inlineStr">
        <is>
          <t>A11</t>
        </is>
      </c>
      <c r="D1455" s="6" t="n">
        <v>10</v>
      </c>
      <c r="E1455" s="15" t="n">
        <v>386</v>
      </c>
      <c r="F1455" s="5" t="inlineStr">
        <is>
          <t>нет</t>
        </is>
      </c>
      <c r="H1455">
        <f>VLOOKUP(C1455,Автомобили!$A$2:$G$1000,3,0)</f>
        <v/>
      </c>
      <c r="I1455">
        <f>VLOOKUP(D1455,Клиенты!$A$2:$D$1000,2,0)</f>
        <v/>
      </c>
      <c r="J1455">
        <f>IF(AND(H1455="Kaptur",I1455="Окраинов Л.Г.",YEAR(B1455)=2020),E1455,0)</f>
        <v/>
      </c>
    </row>
    <row r="1456">
      <c r="A1456" s="6" t="n">
        <v>1455</v>
      </c>
      <c r="B1456" s="13" t="n">
        <v>44194</v>
      </c>
      <c r="C1456" s="6" t="inlineStr">
        <is>
          <t>A49</t>
        </is>
      </c>
      <c r="D1456" s="6" t="n">
        <v>3</v>
      </c>
      <c r="E1456" s="15" t="n">
        <v>410</v>
      </c>
      <c r="F1456" s="5" t="inlineStr">
        <is>
          <t>нет</t>
        </is>
      </c>
      <c r="H1456">
        <f>VLOOKUP(C1456,Автомобили!$A$2:$G$1000,3,0)</f>
        <v/>
      </c>
      <c r="I1456">
        <f>VLOOKUP(D1456,Клиенты!$A$2:$D$1000,2,0)</f>
        <v/>
      </c>
      <c r="J1456">
        <f>IF(AND(H1456="Kaptur",I1456="Окраинов Л.Г.",YEAR(B1456)=2020),E1456,0)</f>
        <v/>
      </c>
    </row>
    <row r="1457">
      <c r="A1457" s="6" t="n">
        <v>1456</v>
      </c>
      <c r="B1457" s="13" t="n">
        <v>44194</v>
      </c>
      <c r="C1457" s="6" t="inlineStr">
        <is>
          <t>A24</t>
        </is>
      </c>
      <c r="D1457" s="6" t="n">
        <v>2</v>
      </c>
      <c r="E1457" s="15" t="n">
        <v>138</v>
      </c>
      <c r="F1457" s="5" t="inlineStr">
        <is>
          <t>нет</t>
        </is>
      </c>
      <c r="H1457">
        <f>VLOOKUP(C1457,Автомобили!$A$2:$G$1000,3,0)</f>
        <v/>
      </c>
      <c r="I1457">
        <f>VLOOKUP(D1457,Клиенты!$A$2:$D$1000,2,0)</f>
        <v/>
      </c>
      <c r="J1457">
        <f>IF(AND(H1457="Kaptur",I1457="Окраинов Л.Г.",YEAR(B1457)=2020),E1457,0)</f>
        <v/>
      </c>
    </row>
    <row r="1458">
      <c r="A1458" s="6" t="n">
        <v>1457</v>
      </c>
      <c r="B1458" s="13" t="n">
        <v>44195</v>
      </c>
      <c r="C1458" s="6" t="inlineStr">
        <is>
          <t>A15</t>
        </is>
      </c>
      <c r="D1458" s="6" t="n">
        <v>5</v>
      </c>
      <c r="E1458" s="15" t="n">
        <v>220</v>
      </c>
      <c r="F1458" s="5" t="inlineStr">
        <is>
          <t>нет</t>
        </is>
      </c>
      <c r="H1458">
        <f>VLOOKUP(C1458,Автомобили!$A$2:$G$1000,3,0)</f>
        <v/>
      </c>
      <c r="I1458">
        <f>VLOOKUP(D1458,Клиенты!$A$2:$D$1000,2,0)</f>
        <v/>
      </c>
      <c r="J1458">
        <f>IF(AND(H1458="Kaptur",I1458="Окраинов Л.Г.",YEAR(B1458)=2020),E1458,0)</f>
        <v/>
      </c>
    </row>
    <row r="1459">
      <c r="A1459" s="6" t="n">
        <v>1458</v>
      </c>
      <c r="B1459" s="13" t="n">
        <v>44195</v>
      </c>
      <c r="C1459" s="6" t="inlineStr">
        <is>
          <t>A4</t>
        </is>
      </c>
      <c r="D1459" s="6" t="n">
        <v>6</v>
      </c>
      <c r="E1459" s="15" t="n">
        <v>149</v>
      </c>
      <c r="F1459" s="5" t="inlineStr">
        <is>
          <t>нет</t>
        </is>
      </c>
      <c r="H1459">
        <f>VLOOKUP(C1459,Автомобили!$A$2:$G$1000,3,0)</f>
        <v/>
      </c>
      <c r="I1459">
        <f>VLOOKUP(D1459,Клиенты!$A$2:$D$1000,2,0)</f>
        <v/>
      </c>
      <c r="J1459">
        <f>IF(AND(H1459="Kaptur",I1459="Окраинов Л.Г.",YEAR(B1459)=2020),E1459,0)</f>
        <v/>
      </c>
    </row>
    <row r="1460">
      <c r="A1460" s="6" t="n">
        <v>1459</v>
      </c>
      <c r="B1460" s="13" t="n">
        <v>44195</v>
      </c>
      <c r="C1460" s="6" t="inlineStr">
        <is>
          <t>A18</t>
        </is>
      </c>
      <c r="D1460" s="6" t="n">
        <v>12</v>
      </c>
      <c r="E1460" s="15" t="n">
        <v>163</v>
      </c>
      <c r="F1460" s="5" t="inlineStr">
        <is>
          <t>нет</t>
        </is>
      </c>
      <c r="H1460">
        <f>VLOOKUP(C1460,Автомобили!$A$2:$G$1000,3,0)</f>
        <v/>
      </c>
      <c r="I1460">
        <f>VLOOKUP(D1460,Клиенты!$A$2:$D$1000,2,0)</f>
        <v/>
      </c>
      <c r="J1460">
        <f>IF(AND(H1460="Kaptur",I1460="Окраинов Л.Г.",YEAR(B1460)=2020),E1460,0)</f>
        <v/>
      </c>
    </row>
    <row r="1461">
      <c r="A1461" s="6" t="n">
        <v>1460</v>
      </c>
      <c r="B1461" s="13" t="n">
        <v>44195</v>
      </c>
      <c r="C1461" s="6" t="inlineStr">
        <is>
          <t>A25</t>
        </is>
      </c>
      <c r="D1461" s="6" t="n">
        <v>8</v>
      </c>
      <c r="E1461" s="15" t="n">
        <v>105</v>
      </c>
      <c r="F1461" s="5" t="inlineStr">
        <is>
          <t>нет</t>
        </is>
      </c>
      <c r="H1461">
        <f>VLOOKUP(C1461,Автомобили!$A$2:$G$1000,3,0)</f>
        <v/>
      </c>
      <c r="I1461">
        <f>VLOOKUP(D1461,Клиенты!$A$2:$D$1000,2,0)</f>
        <v/>
      </c>
      <c r="J1461">
        <f>IF(AND(H1461="Kaptur",I1461="Окраинов Л.Г.",YEAR(B1461)=2020),E1461,0)</f>
        <v/>
      </c>
    </row>
    <row r="1462">
      <c r="A1462" s="6" t="n">
        <v>1461</v>
      </c>
      <c r="B1462" s="13" t="n">
        <v>44196</v>
      </c>
      <c r="C1462" s="6" t="inlineStr">
        <is>
          <t>A48</t>
        </is>
      </c>
      <c r="D1462" s="6" t="n">
        <v>13</v>
      </c>
      <c r="E1462" s="15" t="n">
        <v>428</v>
      </c>
      <c r="F1462" s="5" t="inlineStr">
        <is>
          <t>нет</t>
        </is>
      </c>
      <c r="H1462">
        <f>VLOOKUP(C1462,Автомобили!$A$2:$G$1000,3,0)</f>
        <v/>
      </c>
      <c r="I1462">
        <f>VLOOKUP(D1462,Клиенты!$A$2:$D$1000,2,0)</f>
        <v/>
      </c>
      <c r="J1462">
        <f>IF(AND(H1462="Kaptur",I1462="Окраинов Л.Г.",YEAR(B1462)=2020),E1462,0)</f>
        <v/>
      </c>
    </row>
    <row r="1463">
      <c r="A1463" s="6" t="n">
        <v>1462</v>
      </c>
      <c r="B1463" s="13" t="n">
        <v>44196</v>
      </c>
      <c r="C1463" s="6" t="inlineStr">
        <is>
          <t>A26</t>
        </is>
      </c>
      <c r="D1463" s="6" t="n">
        <v>7</v>
      </c>
      <c r="E1463" s="15" t="n">
        <v>343</v>
      </c>
      <c r="F1463" s="5" t="inlineStr">
        <is>
          <t>нет</t>
        </is>
      </c>
      <c r="H1463">
        <f>VLOOKUP(C1463,Автомобили!$A$2:$G$1000,3,0)</f>
        <v/>
      </c>
      <c r="I1463">
        <f>VLOOKUP(D1463,Клиенты!$A$2:$D$1000,2,0)</f>
        <v/>
      </c>
      <c r="J1463">
        <f>IF(AND(H1463="Kaptur",I1463="Окраинов Л.Г.",YEAR(B1463)=2020),E1463,0)</f>
        <v/>
      </c>
    </row>
    <row r="1464">
      <c r="A1464" s="6" t="n">
        <v>1463</v>
      </c>
      <c r="B1464" s="13" t="n">
        <v>44196</v>
      </c>
      <c r="C1464" s="6" t="inlineStr">
        <is>
          <t>A58</t>
        </is>
      </c>
      <c r="D1464" s="6" t="n">
        <v>11</v>
      </c>
      <c r="E1464" s="15" t="n">
        <v>426</v>
      </c>
      <c r="F1464" s="5" t="inlineStr">
        <is>
          <t>нет</t>
        </is>
      </c>
      <c r="H1464">
        <f>VLOOKUP(C1464,Автомобили!$A$2:$G$1000,3,0)</f>
        <v/>
      </c>
      <c r="I1464">
        <f>VLOOKUP(D1464,Клиенты!$A$2:$D$1000,2,0)</f>
        <v/>
      </c>
      <c r="J1464">
        <f>IF(AND(H1464="Kaptur",I1464="Окраинов Л.Г.",YEAR(B1464)=2020),E1464,0)</f>
        <v/>
      </c>
    </row>
    <row r="1465">
      <c r="A1465" s="6" t="n">
        <v>1464</v>
      </c>
      <c r="B1465" s="13" t="n">
        <v>44196</v>
      </c>
      <c r="C1465" s="6" t="inlineStr">
        <is>
          <t>A22</t>
        </is>
      </c>
      <c r="D1465" s="6" t="n">
        <v>4</v>
      </c>
      <c r="E1465" s="15" t="n">
        <v>190</v>
      </c>
      <c r="F1465" s="5" t="inlineStr">
        <is>
          <t>нет</t>
        </is>
      </c>
      <c r="H1465">
        <f>VLOOKUP(C1465,Автомобили!$A$2:$G$1000,3,0)</f>
        <v/>
      </c>
      <c r="I1465">
        <f>VLOOKUP(D1465,Клиенты!$A$2:$D$1000,2,0)</f>
        <v/>
      </c>
      <c r="J1465">
        <f>IF(AND(H1465="Kaptur",I1465="Окраинов Л.Г.",YEAR(B1465)=2020),E1465,0)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39" sqref="A39"/>
    </sheetView>
  </sheetViews>
  <sheetFormatPr baseColWidth="8" defaultRowHeight="15"/>
  <cols>
    <col width="21" customWidth="1" min="1" max="1"/>
    <col width="22.140625" customWidth="1" style="5" min="2" max="2"/>
    <col width="16.5703125" customWidth="1" style="5" min="3" max="3"/>
    <col width="20.5703125" customWidth="1" style="5" min="4" max="4"/>
    <col width="22.42578125" customWidth="1" min="5" max="5"/>
    <col width="17.85546875" customWidth="1" style="5" min="6" max="6"/>
    <col width="19.28515625" customWidth="1" style="5" min="7" max="7"/>
  </cols>
  <sheetData>
    <row r="1" ht="57" customHeight="1" thickBot="1">
      <c r="A1" s="1" t="inlineStr">
        <is>
          <t>ID автомобиля</t>
        </is>
      </c>
      <c r="B1" s="2" t="inlineStr">
        <is>
          <t>Марка</t>
        </is>
      </c>
      <c r="C1" s="2" t="inlineStr">
        <is>
          <t>Модель</t>
        </is>
      </c>
      <c r="D1" s="2" t="inlineStr">
        <is>
          <t>Номер</t>
        </is>
      </c>
      <c r="E1" s="2" t="inlineStr">
        <is>
          <t>Год выпуска</t>
        </is>
      </c>
      <c r="F1" s="3" t="inlineStr">
        <is>
          <t>Дата последнего техосмотра</t>
        </is>
      </c>
      <c r="G1" s="2" t="inlineStr">
        <is>
          <t>Тип двигателя</t>
        </is>
      </c>
    </row>
    <row r="2">
      <c r="A2" s="5" t="inlineStr">
        <is>
          <t>A1</t>
        </is>
      </c>
      <c r="B2" s="5" t="inlineStr">
        <is>
          <t>KIA</t>
        </is>
      </c>
      <c r="C2" s="5" t="inlineStr">
        <is>
          <t>RIO SEDAN</t>
        </is>
      </c>
      <c r="D2" s="5" t="inlineStr">
        <is>
          <t>К731ДВ|50</t>
        </is>
      </c>
      <c r="E2" s="5" t="n">
        <v>2019</v>
      </c>
      <c r="F2" s="18" t="n">
        <v>43552</v>
      </c>
      <c r="G2" s="5" t="inlineStr">
        <is>
          <t>бензиновый</t>
        </is>
      </c>
    </row>
    <row r="3">
      <c r="A3" s="5" t="inlineStr">
        <is>
          <t>A2</t>
        </is>
      </c>
      <c r="B3" s="5" t="inlineStr">
        <is>
          <t>KIA</t>
        </is>
      </c>
      <c r="C3" s="5" t="inlineStr">
        <is>
          <t>RIO SEDAN</t>
        </is>
      </c>
      <c r="D3" s="5" t="inlineStr">
        <is>
          <t>К912РА|50</t>
        </is>
      </c>
      <c r="E3" s="5" t="n">
        <v>2019</v>
      </c>
      <c r="F3" s="18" t="n">
        <v>43502</v>
      </c>
      <c r="G3" s="5" t="inlineStr">
        <is>
          <t>бензиновый</t>
        </is>
      </c>
    </row>
    <row r="4">
      <c r="A4" s="5" t="inlineStr">
        <is>
          <t>A3</t>
        </is>
      </c>
      <c r="B4" s="5" t="inlineStr">
        <is>
          <t>KIA</t>
        </is>
      </c>
      <c r="C4" s="5" t="inlineStr">
        <is>
          <t>RIO SEDAN</t>
        </is>
      </c>
      <c r="D4" s="5" t="inlineStr">
        <is>
          <t>К493СВ|50</t>
        </is>
      </c>
      <c r="E4" s="5" t="n">
        <v>2019</v>
      </c>
      <c r="F4" s="18" t="n">
        <v>43751</v>
      </c>
      <c r="G4" s="5" t="inlineStr">
        <is>
          <t>бензиновый</t>
        </is>
      </c>
    </row>
    <row r="5">
      <c r="A5" s="5" t="inlineStr">
        <is>
          <t>A4</t>
        </is>
      </c>
      <c r="B5" s="5" t="inlineStr">
        <is>
          <t>KIA</t>
        </is>
      </c>
      <c r="C5" s="5" t="inlineStr">
        <is>
          <t>RIO SEDAN</t>
        </is>
      </c>
      <c r="D5" s="5" t="inlineStr">
        <is>
          <t>К156ХЛ|50</t>
        </is>
      </c>
      <c r="E5" s="5" t="n">
        <v>2019</v>
      </c>
      <c r="F5" s="18" t="n">
        <v>43816</v>
      </c>
      <c r="G5" s="5" t="inlineStr">
        <is>
          <t>бензиновый</t>
        </is>
      </c>
    </row>
    <row r="6">
      <c r="A6" s="5" t="inlineStr">
        <is>
          <t>A5</t>
        </is>
      </c>
      <c r="B6" s="5" t="inlineStr">
        <is>
          <t>KIA</t>
        </is>
      </c>
      <c r="C6" s="5" t="inlineStr">
        <is>
          <t>RIO SEDAN</t>
        </is>
      </c>
      <c r="D6" s="5" t="inlineStr">
        <is>
          <t>К398ВА|50</t>
        </is>
      </c>
      <c r="E6" s="5" t="n">
        <v>2019</v>
      </c>
      <c r="F6" s="18" t="n">
        <v>43689</v>
      </c>
      <c r="G6" s="5" t="inlineStr">
        <is>
          <t>бензиновый</t>
        </is>
      </c>
    </row>
    <row r="7">
      <c r="A7" s="5" t="inlineStr">
        <is>
          <t>A6</t>
        </is>
      </c>
      <c r="B7" s="5" t="inlineStr">
        <is>
          <t>KIA</t>
        </is>
      </c>
      <c r="C7" s="5" t="inlineStr">
        <is>
          <t>RIO HATCHBACK</t>
        </is>
      </c>
      <c r="D7" s="5" t="inlineStr">
        <is>
          <t>К707ВВ|50</t>
        </is>
      </c>
      <c r="E7" s="5" t="n">
        <v>2018</v>
      </c>
      <c r="F7" s="18" t="n">
        <v>43743</v>
      </c>
      <c r="G7" s="5" t="inlineStr">
        <is>
          <t>бензиновый</t>
        </is>
      </c>
    </row>
    <row r="8">
      <c r="A8" s="5" t="inlineStr">
        <is>
          <t>A7</t>
        </is>
      </c>
      <c r="B8" s="5" t="inlineStr">
        <is>
          <t>KIA</t>
        </is>
      </c>
      <c r="C8" s="5" t="inlineStr">
        <is>
          <t>RIO HATCHBACK</t>
        </is>
      </c>
      <c r="D8" s="5" t="inlineStr">
        <is>
          <t>К478ОИ|50</t>
        </is>
      </c>
      <c r="E8" s="5" t="n">
        <v>2019</v>
      </c>
      <c r="F8" s="18" t="n">
        <v>43694</v>
      </c>
      <c r="G8" s="5" t="inlineStr">
        <is>
          <t>бензиновый</t>
        </is>
      </c>
    </row>
    <row r="9">
      <c r="A9" s="5" t="inlineStr">
        <is>
          <t>A8</t>
        </is>
      </c>
      <c r="B9" s="5" t="inlineStr">
        <is>
          <t>KIA</t>
        </is>
      </c>
      <c r="C9" s="5" t="inlineStr">
        <is>
          <t>RIO HATCHBACK</t>
        </is>
      </c>
      <c r="D9" s="5" t="inlineStr">
        <is>
          <t>К841СУ|50</t>
        </is>
      </c>
      <c r="E9" s="5" t="n">
        <v>2019</v>
      </c>
      <c r="F9" s="18" t="n">
        <v>43618</v>
      </c>
      <c r="G9" s="5" t="inlineStr">
        <is>
          <t>бензиновый</t>
        </is>
      </c>
    </row>
    <row r="10">
      <c r="A10" s="5" t="inlineStr">
        <is>
          <t>A9</t>
        </is>
      </c>
      <c r="B10" s="5" t="inlineStr">
        <is>
          <t>KIA</t>
        </is>
      </c>
      <c r="C10" s="5" t="inlineStr">
        <is>
          <t>RIO HATCHBACK</t>
        </is>
      </c>
      <c r="D10" s="5" t="inlineStr">
        <is>
          <t>К123ДЖ|50</t>
        </is>
      </c>
      <c r="E10" s="5" t="n">
        <v>2019</v>
      </c>
      <c r="F10" s="18" t="n">
        <v>43568</v>
      </c>
      <c r="G10" s="5" t="inlineStr">
        <is>
          <t>бензиновый</t>
        </is>
      </c>
    </row>
    <row r="11">
      <c r="A11" s="5" t="inlineStr">
        <is>
          <t>A10</t>
        </is>
      </c>
      <c r="B11" s="5" t="inlineStr">
        <is>
          <t>KIA</t>
        </is>
      </c>
      <c r="C11" s="5" t="inlineStr">
        <is>
          <t>RIO HATCHBACK</t>
        </is>
      </c>
      <c r="D11" s="5" t="inlineStr">
        <is>
          <t>К826СЯ|50</t>
        </is>
      </c>
      <c r="E11" s="5" t="n">
        <v>2018</v>
      </c>
      <c r="F11" s="18" t="n">
        <v>43818</v>
      </c>
      <c r="G11" s="5" t="inlineStr">
        <is>
          <t>бензиновый</t>
        </is>
      </c>
    </row>
    <row r="12">
      <c r="A12" s="5" t="inlineStr">
        <is>
          <t>A11</t>
        </is>
      </c>
      <c r="B12" s="5" t="inlineStr">
        <is>
          <t>KIA</t>
        </is>
      </c>
      <c r="C12" s="5" t="inlineStr">
        <is>
          <t>RIO HATCHBACK</t>
        </is>
      </c>
      <c r="D12" s="5" t="inlineStr">
        <is>
          <t>К596ЭК|50</t>
        </is>
      </c>
      <c r="E12" s="5" t="n">
        <v>2019</v>
      </c>
      <c r="F12" s="18" t="n">
        <v>43776</v>
      </c>
      <c r="G12" s="5" t="inlineStr">
        <is>
          <t>бензиновый</t>
        </is>
      </c>
    </row>
    <row r="13">
      <c r="A13" s="5" t="inlineStr">
        <is>
          <t>A12</t>
        </is>
      </c>
      <c r="B13" s="5" t="inlineStr">
        <is>
          <t>KIA</t>
        </is>
      </c>
      <c r="C13" s="5" t="inlineStr">
        <is>
          <t>RIO HATCHBACK</t>
        </is>
      </c>
      <c r="D13" s="5" t="inlineStr">
        <is>
          <t>К903ПВ|50</t>
        </is>
      </c>
      <c r="E13" s="5" t="n">
        <v>2019</v>
      </c>
      <c r="F13" s="18" t="n">
        <v>43647</v>
      </c>
      <c r="G13" s="5" t="inlineStr">
        <is>
          <t>бензиновый</t>
        </is>
      </c>
    </row>
    <row r="14">
      <c r="A14" s="5" t="inlineStr">
        <is>
          <t>A13</t>
        </is>
      </c>
      <c r="B14" s="5" t="inlineStr">
        <is>
          <t>KIA</t>
        </is>
      </c>
      <c r="C14" s="5" t="inlineStr">
        <is>
          <t>RIO HATCHBACK</t>
        </is>
      </c>
      <c r="D14" s="5" t="inlineStr">
        <is>
          <t>К121УЛ|50</t>
        </is>
      </c>
      <c r="E14" s="5" t="n">
        <v>2018</v>
      </c>
      <c r="F14" s="18" t="n">
        <v>43696</v>
      </c>
      <c r="G14" s="5" t="inlineStr">
        <is>
          <t>бензиновый</t>
        </is>
      </c>
    </row>
    <row r="15">
      <c r="A15" s="5" t="inlineStr">
        <is>
          <t>A14</t>
        </is>
      </c>
      <c r="B15" s="5" t="inlineStr">
        <is>
          <t>KIA</t>
        </is>
      </c>
      <c r="C15" s="5" t="inlineStr">
        <is>
          <t>RIO HATCHBACK</t>
        </is>
      </c>
      <c r="D15" s="5" t="inlineStr">
        <is>
          <t>К242ДД|50</t>
        </is>
      </c>
      <c r="E15" s="5" t="n">
        <v>2019</v>
      </c>
      <c r="F15" s="18" t="n">
        <v>43479</v>
      </c>
      <c r="G15" s="5" t="inlineStr">
        <is>
          <t>бензиновый</t>
        </is>
      </c>
    </row>
    <row r="16">
      <c r="A16" s="5" t="inlineStr">
        <is>
          <t>A15</t>
        </is>
      </c>
      <c r="B16" s="5" t="inlineStr">
        <is>
          <t>KIA</t>
        </is>
      </c>
      <c r="C16" s="5" t="inlineStr">
        <is>
          <t>RIO HATCHBACK</t>
        </is>
      </c>
      <c r="D16" s="5" t="inlineStr">
        <is>
          <t>К038ГН|50</t>
        </is>
      </c>
      <c r="E16" s="5" t="n">
        <v>2019</v>
      </c>
      <c r="F16" s="18" t="n">
        <v>43570</v>
      </c>
      <c r="G16" s="5" t="inlineStr">
        <is>
          <t>бензиновый</t>
        </is>
      </c>
    </row>
    <row r="17">
      <c r="A17" s="5" t="inlineStr">
        <is>
          <t>A16</t>
        </is>
      </c>
      <c r="B17" s="16" t="inlineStr">
        <is>
          <t>Renault</t>
        </is>
      </c>
      <c r="C17" s="5" t="inlineStr">
        <is>
          <t>Kaptur</t>
        </is>
      </c>
      <c r="D17" s="5" t="inlineStr">
        <is>
          <t>К720АВ|50</t>
        </is>
      </c>
      <c r="E17" s="5" t="n">
        <v>2018</v>
      </c>
      <c r="F17" s="18" t="n">
        <v>43813</v>
      </c>
      <c r="G17" s="5" t="inlineStr">
        <is>
          <t>бензиновый</t>
        </is>
      </c>
    </row>
    <row r="18">
      <c r="A18" s="5" t="inlineStr">
        <is>
          <t>A17</t>
        </is>
      </c>
      <c r="B18" s="16" t="inlineStr">
        <is>
          <t>Renault</t>
        </is>
      </c>
      <c r="C18" s="5" t="inlineStr">
        <is>
          <t>Kaptur</t>
        </is>
      </c>
      <c r="D18" s="5" t="inlineStr">
        <is>
          <t>К293ФУ|50</t>
        </is>
      </c>
      <c r="E18" s="5" t="n">
        <v>2019</v>
      </c>
      <c r="F18" s="18" t="n">
        <v>43477</v>
      </c>
      <c r="G18" s="5" t="inlineStr">
        <is>
          <t>бензиновый</t>
        </is>
      </c>
    </row>
    <row r="19">
      <c r="A19" s="5" t="inlineStr">
        <is>
          <t>A18</t>
        </is>
      </c>
      <c r="B19" s="16" t="inlineStr">
        <is>
          <t>Renault</t>
        </is>
      </c>
      <c r="C19" s="5" t="inlineStr">
        <is>
          <t>Kaptur</t>
        </is>
      </c>
      <c r="D19" s="5" t="inlineStr">
        <is>
          <t>К015ТИ|50</t>
        </is>
      </c>
      <c r="E19" s="5" t="n">
        <v>2018</v>
      </c>
      <c r="F19" s="18" t="n">
        <v>43573</v>
      </c>
      <c r="G19" s="5" t="inlineStr">
        <is>
          <t>бензиновый</t>
        </is>
      </c>
    </row>
    <row r="20">
      <c r="A20" s="5" t="inlineStr">
        <is>
          <t>A19</t>
        </is>
      </c>
      <c r="B20" s="16" t="inlineStr">
        <is>
          <t>Renault</t>
        </is>
      </c>
      <c r="C20" s="5" t="inlineStr">
        <is>
          <t>Kaptur</t>
        </is>
      </c>
      <c r="D20" s="5" t="inlineStr">
        <is>
          <t>К731СМ|50</t>
        </is>
      </c>
      <c r="E20" s="5" t="n">
        <v>2019</v>
      </c>
      <c r="F20" s="18" t="n">
        <v>43730</v>
      </c>
      <c r="G20" s="5" t="inlineStr">
        <is>
          <t>бензиновый</t>
        </is>
      </c>
    </row>
    <row r="21">
      <c r="A21" s="5" t="inlineStr">
        <is>
          <t>A20</t>
        </is>
      </c>
      <c r="B21" s="16" t="inlineStr">
        <is>
          <t>Renault</t>
        </is>
      </c>
      <c r="C21" s="5" t="inlineStr">
        <is>
          <t>Kaptur</t>
        </is>
      </c>
      <c r="D21" s="5" t="inlineStr">
        <is>
          <t>К398РП|50</t>
        </is>
      </c>
      <c r="E21" s="5" t="n">
        <v>2019</v>
      </c>
      <c r="F21" s="18" t="n">
        <v>43704</v>
      </c>
      <c r="G21" s="5" t="inlineStr">
        <is>
          <t>бензиновый</t>
        </is>
      </c>
    </row>
    <row r="22">
      <c r="A22" s="5" t="inlineStr">
        <is>
          <t>A21</t>
        </is>
      </c>
      <c r="B22" s="16" t="inlineStr">
        <is>
          <t>Renault</t>
        </is>
      </c>
      <c r="C22" s="5" t="inlineStr">
        <is>
          <t>Kaptur</t>
        </is>
      </c>
      <c r="D22" s="5" t="inlineStr">
        <is>
          <t>К962РП|50</t>
        </is>
      </c>
      <c r="E22" s="5" t="n">
        <v>2019</v>
      </c>
      <c r="F22" s="18" t="n">
        <v>43594</v>
      </c>
      <c r="G22" s="5" t="inlineStr">
        <is>
          <t>бензиновый</t>
        </is>
      </c>
    </row>
    <row r="23">
      <c r="A23" s="5" t="inlineStr">
        <is>
          <t>A22</t>
        </is>
      </c>
      <c r="B23" s="16" t="inlineStr">
        <is>
          <t>Renault</t>
        </is>
      </c>
      <c r="C23" s="5" t="inlineStr">
        <is>
          <t>Kaptur</t>
        </is>
      </c>
      <c r="D23" s="5" t="inlineStr">
        <is>
          <t>К696АВ|50</t>
        </is>
      </c>
      <c r="E23" s="5" t="n">
        <v>2018</v>
      </c>
      <c r="F23" s="18" t="n">
        <v>43468</v>
      </c>
      <c r="G23" s="5" t="inlineStr">
        <is>
          <t>бензиновый</t>
        </is>
      </c>
    </row>
    <row r="24">
      <c r="A24" s="5" t="inlineStr">
        <is>
          <t>A23</t>
        </is>
      </c>
      <c r="B24" s="16" t="inlineStr">
        <is>
          <t>Renault</t>
        </is>
      </c>
      <c r="C24" s="5" t="inlineStr">
        <is>
          <t>Kaptur</t>
        </is>
      </c>
      <c r="D24" s="5" t="inlineStr">
        <is>
          <t>К863ЛО|50</t>
        </is>
      </c>
      <c r="E24" s="5" t="n">
        <v>2019</v>
      </c>
      <c r="F24" s="18" t="n">
        <v>43631</v>
      </c>
      <c r="G24" s="5" t="inlineStr">
        <is>
          <t>бензиновый</t>
        </is>
      </c>
    </row>
    <row r="25">
      <c r="A25" s="5" t="inlineStr">
        <is>
          <t>A24</t>
        </is>
      </c>
      <c r="B25" s="16" t="inlineStr">
        <is>
          <t>Renault</t>
        </is>
      </c>
      <c r="C25" s="5" t="inlineStr">
        <is>
          <t>Kaptur</t>
        </is>
      </c>
      <c r="D25" s="5" t="inlineStr">
        <is>
          <t>К386ЕТ|50</t>
        </is>
      </c>
      <c r="E25" s="5" t="n">
        <v>2019</v>
      </c>
      <c r="F25" s="18" t="n">
        <v>43514</v>
      </c>
      <c r="G25" s="5" t="inlineStr">
        <is>
          <t>бензиновый</t>
        </is>
      </c>
    </row>
    <row r="26">
      <c r="A26" s="5" t="inlineStr">
        <is>
          <t>A25</t>
        </is>
      </c>
      <c r="B26" s="16" t="inlineStr">
        <is>
          <t>Renault</t>
        </is>
      </c>
      <c r="C26" s="5" t="inlineStr">
        <is>
          <t>Kaptur</t>
        </is>
      </c>
      <c r="D26" s="5" t="inlineStr">
        <is>
          <t>К692МГ|50</t>
        </is>
      </c>
      <c r="E26" s="5" t="n">
        <v>2019</v>
      </c>
      <c r="F26" s="18" t="n">
        <v>43508</v>
      </c>
      <c r="G26" s="5" t="inlineStr">
        <is>
          <t>бензиновый</t>
        </is>
      </c>
    </row>
    <row r="27">
      <c r="A27" s="5" t="inlineStr">
        <is>
          <t>A26</t>
        </is>
      </c>
      <c r="B27" s="16" t="inlineStr">
        <is>
          <t>Renault</t>
        </is>
      </c>
      <c r="C27" s="5" t="inlineStr">
        <is>
          <t>Kaptur</t>
        </is>
      </c>
      <c r="D27" s="5" t="inlineStr">
        <is>
          <t>К293ВГ|50</t>
        </is>
      </c>
      <c r="E27" s="5" t="n">
        <v>2019</v>
      </c>
      <c r="F27" s="18" t="n">
        <v>43603</v>
      </c>
      <c r="G27" s="5" t="inlineStr">
        <is>
          <t>бензиновый</t>
        </is>
      </c>
    </row>
    <row r="28">
      <c r="A28" s="5" t="inlineStr">
        <is>
          <t>A27</t>
        </is>
      </c>
      <c r="B28" s="16" t="inlineStr">
        <is>
          <t>Nissan</t>
        </is>
      </c>
      <c r="C28" s="5" t="inlineStr">
        <is>
          <t xml:space="preserve"> Qashqai</t>
        </is>
      </c>
      <c r="D28" s="5" t="inlineStr">
        <is>
          <t>К565АА|50</t>
        </is>
      </c>
      <c r="E28" s="5" t="n">
        <v>2017</v>
      </c>
      <c r="F28" s="18" t="n">
        <v>43489</v>
      </c>
      <c r="G28" s="5" t="inlineStr">
        <is>
          <t>бензиновый</t>
        </is>
      </c>
    </row>
    <row r="29">
      <c r="A29" s="5" t="inlineStr">
        <is>
          <t>A28</t>
        </is>
      </c>
      <c r="B29" s="16" t="inlineStr">
        <is>
          <t>Nissan</t>
        </is>
      </c>
      <c r="C29" s="5" t="inlineStr">
        <is>
          <t xml:space="preserve"> Qashqai</t>
        </is>
      </c>
      <c r="D29" s="5" t="inlineStr">
        <is>
          <t>К949ВГ|50</t>
        </is>
      </c>
      <c r="E29" s="5" t="n">
        <v>2019</v>
      </c>
      <c r="F29" s="18" t="n">
        <v>43827</v>
      </c>
      <c r="G29" s="5" t="inlineStr">
        <is>
          <t>бензиновый</t>
        </is>
      </c>
    </row>
    <row r="30">
      <c r="A30" s="5" t="inlineStr">
        <is>
          <t>A29</t>
        </is>
      </c>
      <c r="B30" s="16" t="inlineStr">
        <is>
          <t>Nissan</t>
        </is>
      </c>
      <c r="C30" s="5" t="inlineStr">
        <is>
          <t xml:space="preserve"> Qashqai</t>
        </is>
      </c>
      <c r="D30" s="5" t="inlineStr">
        <is>
          <t>К384ЛД|50</t>
        </is>
      </c>
      <c r="E30" s="5" t="n">
        <v>2019</v>
      </c>
      <c r="F30" s="18" t="n">
        <v>43547</v>
      </c>
      <c r="G30" s="5" t="inlineStr">
        <is>
          <t>дизельный</t>
        </is>
      </c>
    </row>
    <row r="31">
      <c r="A31" s="5" t="inlineStr">
        <is>
          <t>A30</t>
        </is>
      </c>
      <c r="B31" s="16" t="inlineStr">
        <is>
          <t>Nissan</t>
        </is>
      </c>
      <c r="C31" s="5" t="inlineStr">
        <is>
          <t xml:space="preserve"> Qashqai</t>
        </is>
      </c>
      <c r="D31" s="5" t="inlineStr">
        <is>
          <t>К646ВР|50</t>
        </is>
      </c>
      <c r="E31" s="5" t="n">
        <v>2019</v>
      </c>
      <c r="F31" s="18" t="n">
        <v>43694</v>
      </c>
      <c r="G31" s="5" t="inlineStr">
        <is>
          <t>дизельный</t>
        </is>
      </c>
    </row>
    <row r="32">
      <c r="A32" s="5" t="inlineStr">
        <is>
          <t>A31</t>
        </is>
      </c>
      <c r="B32" s="16" t="inlineStr">
        <is>
          <t>Nissan</t>
        </is>
      </c>
      <c r="C32" s="5" t="inlineStr">
        <is>
          <t xml:space="preserve"> Qashqai</t>
        </is>
      </c>
      <c r="D32" s="5" t="inlineStr">
        <is>
          <t>К989ОУ|50</t>
        </is>
      </c>
      <c r="E32" s="5" t="n">
        <v>2019</v>
      </c>
      <c r="F32" s="18" t="n">
        <v>43713</v>
      </c>
      <c r="G32" s="5" t="inlineStr">
        <is>
          <t>дизельный</t>
        </is>
      </c>
    </row>
    <row r="33">
      <c r="A33" s="5" t="inlineStr">
        <is>
          <t>A32</t>
        </is>
      </c>
      <c r="B33" s="16" t="inlineStr">
        <is>
          <t>Nissan</t>
        </is>
      </c>
      <c r="C33" s="5" t="inlineStr">
        <is>
          <t xml:space="preserve"> Qashqai</t>
        </is>
      </c>
      <c r="D33" s="5" t="inlineStr">
        <is>
          <t>К290ПП|50</t>
        </is>
      </c>
      <c r="E33" s="5" t="n">
        <v>2019</v>
      </c>
      <c r="F33" s="18" t="n">
        <v>43557</v>
      </c>
      <c r="G33" s="5" t="inlineStr">
        <is>
          <t>дизельный</t>
        </is>
      </c>
    </row>
    <row r="34">
      <c r="A34" s="5" t="inlineStr">
        <is>
          <t>A33</t>
        </is>
      </c>
      <c r="B34" s="16" t="inlineStr">
        <is>
          <t>Nissan</t>
        </is>
      </c>
      <c r="C34" s="5" t="inlineStr">
        <is>
          <t xml:space="preserve"> Qashqai</t>
        </is>
      </c>
      <c r="D34" s="5" t="inlineStr">
        <is>
          <t>К992ДС|50</t>
        </is>
      </c>
      <c r="E34" s="5" t="n">
        <v>2017</v>
      </c>
      <c r="F34" s="18" t="n">
        <v>43525</v>
      </c>
      <c r="G34" s="5" t="inlineStr">
        <is>
          <t>дизельный</t>
        </is>
      </c>
    </row>
    <row r="35">
      <c r="A35" s="5" t="inlineStr">
        <is>
          <t>A34</t>
        </is>
      </c>
      <c r="B35" s="16" t="inlineStr">
        <is>
          <t>Nissan</t>
        </is>
      </c>
      <c r="C35" s="5" t="inlineStr">
        <is>
          <t xml:space="preserve"> Qashqai</t>
        </is>
      </c>
      <c r="D35" s="5" t="inlineStr">
        <is>
          <t>К195ТН|50</t>
        </is>
      </c>
      <c r="E35" s="5" t="n">
        <v>2019</v>
      </c>
      <c r="F35" s="18" t="n">
        <v>43563</v>
      </c>
      <c r="G35" s="5" t="inlineStr">
        <is>
          <t>дизельный</t>
        </is>
      </c>
    </row>
    <row r="36">
      <c r="A36" s="5" t="inlineStr">
        <is>
          <t>A35</t>
        </is>
      </c>
      <c r="B36" s="16" t="inlineStr">
        <is>
          <t>Nissan</t>
        </is>
      </c>
      <c r="C36" s="5" t="inlineStr">
        <is>
          <t xml:space="preserve"> Qashqai</t>
        </is>
      </c>
      <c r="D36" s="5" t="inlineStr">
        <is>
          <t>К012ОП|50</t>
        </is>
      </c>
      <c r="E36" s="5" t="n">
        <v>2019</v>
      </c>
      <c r="F36" s="18" t="n">
        <v>43819</v>
      </c>
      <c r="G36" s="5" t="inlineStr">
        <is>
          <t>дизельный</t>
        </is>
      </c>
    </row>
    <row r="37">
      <c r="A37" s="5" t="inlineStr">
        <is>
          <t>A36</t>
        </is>
      </c>
      <c r="B37" s="16" t="inlineStr">
        <is>
          <t>Nissan</t>
        </is>
      </c>
      <c r="C37" s="5" t="inlineStr">
        <is>
          <t xml:space="preserve"> Qashqai</t>
        </is>
      </c>
      <c r="D37" s="5" t="inlineStr">
        <is>
          <t>К255АВ|50</t>
        </is>
      </c>
      <c r="E37" s="5" t="n">
        <v>2017</v>
      </c>
      <c r="F37" s="18" t="n">
        <v>43503</v>
      </c>
      <c r="G37" s="5" t="inlineStr">
        <is>
          <t>бензиновый</t>
        </is>
      </c>
    </row>
    <row r="38">
      <c r="A38" s="5" t="inlineStr">
        <is>
          <t>A37</t>
        </is>
      </c>
      <c r="B38" s="16" t="inlineStr">
        <is>
          <t>Nissan</t>
        </is>
      </c>
      <c r="C38" s="5" t="inlineStr">
        <is>
          <t xml:space="preserve"> Qashqai</t>
        </is>
      </c>
      <c r="D38" s="5" t="inlineStr">
        <is>
          <t>К266ЛУ|50</t>
        </is>
      </c>
      <c r="E38" s="5" t="n">
        <v>2019</v>
      </c>
      <c r="F38" s="18" t="n">
        <v>43727</v>
      </c>
      <c r="G38" s="5" t="inlineStr">
        <is>
          <t>бензиновый</t>
        </is>
      </c>
    </row>
    <row r="39">
      <c r="A39" s="5" t="inlineStr">
        <is>
          <t>A38</t>
        </is>
      </c>
      <c r="B39" s="16" t="inlineStr">
        <is>
          <t>Nissan</t>
        </is>
      </c>
      <c r="C39" s="5" t="inlineStr">
        <is>
          <t xml:space="preserve"> Qashqai</t>
        </is>
      </c>
      <c r="D39" s="5" t="inlineStr">
        <is>
          <t>К341НИ|50</t>
        </is>
      </c>
      <c r="E39" s="5" t="n">
        <v>2019</v>
      </c>
      <c r="F39" s="18" t="n">
        <v>43637</v>
      </c>
      <c r="G39" s="5" t="inlineStr">
        <is>
          <t>бензиновый</t>
        </is>
      </c>
    </row>
    <row r="40">
      <c r="A40" s="5" t="inlineStr">
        <is>
          <t>A39</t>
        </is>
      </c>
      <c r="B40" s="16" t="inlineStr">
        <is>
          <t>Skoda</t>
        </is>
      </c>
      <c r="C40" s="5" t="inlineStr">
        <is>
          <t>Octavia</t>
        </is>
      </c>
      <c r="D40" s="5" t="inlineStr">
        <is>
          <t>К762МГ|50</t>
        </is>
      </c>
      <c r="E40" s="5" t="n">
        <v>2019</v>
      </c>
      <c r="F40" s="18" t="n">
        <v>43764</v>
      </c>
      <c r="G40" s="5" t="inlineStr">
        <is>
          <t>бензиновый</t>
        </is>
      </c>
    </row>
    <row r="41">
      <c r="A41" s="5" t="inlineStr">
        <is>
          <t>A40</t>
        </is>
      </c>
      <c r="B41" s="16" t="inlineStr">
        <is>
          <t>Skoda</t>
        </is>
      </c>
      <c r="C41" s="5" t="inlineStr">
        <is>
          <t>Octavia</t>
        </is>
      </c>
      <c r="D41" s="5" t="inlineStr">
        <is>
          <t>К652ВУ|50</t>
        </is>
      </c>
      <c r="E41" s="5" t="n">
        <v>2019</v>
      </c>
      <c r="F41" s="18" t="n">
        <v>43703</v>
      </c>
      <c r="G41" s="5" t="inlineStr">
        <is>
          <t>бензиновый</t>
        </is>
      </c>
    </row>
    <row r="42">
      <c r="A42" s="5" t="inlineStr">
        <is>
          <t>A41</t>
        </is>
      </c>
      <c r="B42" s="16" t="inlineStr">
        <is>
          <t>Skoda</t>
        </is>
      </c>
      <c r="C42" s="5" t="inlineStr">
        <is>
          <t>Octavia</t>
        </is>
      </c>
      <c r="D42" s="5" t="inlineStr">
        <is>
          <t>К518РП|50</t>
        </is>
      </c>
      <c r="E42" s="5" t="n">
        <v>2019</v>
      </c>
      <c r="F42" s="18" t="n">
        <v>43661</v>
      </c>
      <c r="G42" s="5" t="inlineStr">
        <is>
          <t>бензиновый</t>
        </is>
      </c>
    </row>
    <row r="43">
      <c r="A43" s="5" t="inlineStr">
        <is>
          <t>A42</t>
        </is>
      </c>
      <c r="B43" s="16" t="inlineStr">
        <is>
          <t>Skoda</t>
        </is>
      </c>
      <c r="C43" s="5" t="inlineStr">
        <is>
          <t>Octavia</t>
        </is>
      </c>
      <c r="D43" s="5" t="inlineStr">
        <is>
          <t>К612РА|50</t>
        </is>
      </c>
      <c r="E43" s="5" t="n">
        <v>2019</v>
      </c>
      <c r="F43" s="18" t="n">
        <v>43729</v>
      </c>
      <c r="G43" s="5" t="inlineStr">
        <is>
          <t>бензиновый</t>
        </is>
      </c>
    </row>
    <row r="44">
      <c r="A44" s="5" t="inlineStr">
        <is>
          <t>A43</t>
        </is>
      </c>
      <c r="B44" s="16" t="inlineStr">
        <is>
          <t>Skoda</t>
        </is>
      </c>
      <c r="C44" s="5" t="inlineStr">
        <is>
          <t>Octavia</t>
        </is>
      </c>
      <c r="D44" s="5" t="inlineStr">
        <is>
          <t>К016ГР|50</t>
        </is>
      </c>
      <c r="E44" s="5" t="n">
        <v>2019</v>
      </c>
      <c r="F44" s="18" t="n">
        <v>43559</v>
      </c>
      <c r="G44" s="5" t="inlineStr">
        <is>
          <t>бензиновый</t>
        </is>
      </c>
    </row>
    <row r="45">
      <c r="A45" s="5" t="inlineStr">
        <is>
          <t>A44</t>
        </is>
      </c>
      <c r="B45" s="16" t="inlineStr">
        <is>
          <t>Skoda</t>
        </is>
      </c>
      <c r="C45" s="5" t="inlineStr">
        <is>
          <t>Octavia</t>
        </is>
      </c>
      <c r="D45" s="5" t="inlineStr">
        <is>
          <t>К269МН|50</t>
        </is>
      </c>
      <c r="E45" s="5" t="n">
        <v>2019</v>
      </c>
      <c r="F45" s="18" t="n">
        <v>43794</v>
      </c>
      <c r="G45" s="5" t="inlineStr">
        <is>
          <t>бензиновый</t>
        </is>
      </c>
    </row>
    <row r="46">
      <c r="A46" s="5" t="inlineStr">
        <is>
          <t>A45</t>
        </is>
      </c>
      <c r="B46" s="16" t="inlineStr">
        <is>
          <t>Skoda</t>
        </is>
      </c>
      <c r="C46" s="5" t="inlineStr">
        <is>
          <t>Octavia</t>
        </is>
      </c>
      <c r="D46" s="5" t="inlineStr">
        <is>
          <t>К677ПЛ|50</t>
        </is>
      </c>
      <c r="E46" s="5" t="n">
        <v>2019</v>
      </c>
      <c r="F46" s="18" t="n">
        <v>43722</v>
      </c>
      <c r="G46" s="5" t="inlineStr">
        <is>
          <t>бензиновый</t>
        </is>
      </c>
    </row>
    <row r="47">
      <c r="A47" s="5" t="inlineStr">
        <is>
          <t>A46</t>
        </is>
      </c>
      <c r="B47" s="16" t="inlineStr">
        <is>
          <t>Skoda</t>
        </is>
      </c>
      <c r="C47" s="5" t="inlineStr">
        <is>
          <t>Octavia</t>
        </is>
      </c>
      <c r="D47" s="5" t="inlineStr">
        <is>
          <t>К996ВГ|50</t>
        </is>
      </c>
      <c r="E47" s="5" t="n">
        <v>2019</v>
      </c>
      <c r="F47" s="18" t="n">
        <v>43777</v>
      </c>
      <c r="G47" s="5" t="inlineStr">
        <is>
          <t>бензиновый</t>
        </is>
      </c>
    </row>
    <row r="48">
      <c r="A48" s="5" t="inlineStr">
        <is>
          <t>A47</t>
        </is>
      </c>
      <c r="B48" s="16" t="inlineStr">
        <is>
          <t>Skoda</t>
        </is>
      </c>
      <c r="C48" s="5" t="inlineStr">
        <is>
          <t>Octavia</t>
        </is>
      </c>
      <c r="D48" s="5" t="inlineStr">
        <is>
          <t>К521АЛ|50</t>
        </is>
      </c>
      <c r="E48" s="5" t="n">
        <v>2019</v>
      </c>
      <c r="F48" s="18" t="n">
        <v>43788</v>
      </c>
      <c r="G48" s="5" t="inlineStr">
        <is>
          <t>бензиновый</t>
        </is>
      </c>
    </row>
    <row r="49">
      <c r="A49" s="5" t="inlineStr">
        <is>
          <t>A48</t>
        </is>
      </c>
      <c r="B49" s="16" t="inlineStr">
        <is>
          <t>Skoda</t>
        </is>
      </c>
      <c r="C49" s="5" t="inlineStr">
        <is>
          <t>Octavia</t>
        </is>
      </c>
      <c r="D49" s="5" t="inlineStr">
        <is>
          <t>К789ИИ|50</t>
        </is>
      </c>
      <c r="E49" s="5" t="n">
        <v>2019</v>
      </c>
      <c r="F49" s="18" t="n">
        <v>43564</v>
      </c>
      <c r="G49" s="5" t="inlineStr">
        <is>
          <t>бензиновый</t>
        </is>
      </c>
    </row>
    <row r="50">
      <c r="A50" s="5" t="inlineStr">
        <is>
          <t>A49</t>
        </is>
      </c>
      <c r="B50" s="16" t="inlineStr">
        <is>
          <t>Skoda</t>
        </is>
      </c>
      <c r="C50" s="5" t="inlineStr">
        <is>
          <t>Octavia</t>
        </is>
      </c>
      <c r="D50" s="5" t="inlineStr">
        <is>
          <t>К641ЛТ|50</t>
        </is>
      </c>
      <c r="E50" s="5" t="n">
        <v>2019</v>
      </c>
      <c r="F50" s="18" t="n">
        <v>43479</v>
      </c>
      <c r="G50" s="5" t="inlineStr">
        <is>
          <t>бензиновый</t>
        </is>
      </c>
    </row>
    <row r="51">
      <c r="A51" s="5" t="inlineStr">
        <is>
          <t>A50</t>
        </is>
      </c>
      <c r="B51" s="16" t="inlineStr">
        <is>
          <t>Skoda</t>
        </is>
      </c>
      <c r="C51" s="5" t="inlineStr">
        <is>
          <t>Octavia</t>
        </is>
      </c>
      <c r="D51" s="5" t="inlineStr">
        <is>
          <t>К260ДВ|50</t>
        </is>
      </c>
      <c r="E51" s="5" t="n">
        <v>2019</v>
      </c>
      <c r="F51" s="18" t="n">
        <v>43466</v>
      </c>
      <c r="G51" s="5" t="inlineStr">
        <is>
          <t>бензиновый</t>
        </is>
      </c>
    </row>
    <row r="52">
      <c r="A52" s="5" t="inlineStr">
        <is>
          <t>A51</t>
        </is>
      </c>
      <c r="B52" s="16" t="inlineStr">
        <is>
          <t>Skoda</t>
        </is>
      </c>
      <c r="C52" s="5" t="inlineStr">
        <is>
          <t>Octavia</t>
        </is>
      </c>
      <c r="D52" s="5" t="inlineStr">
        <is>
          <t>К523КВ|50</t>
        </is>
      </c>
      <c r="E52" s="5" t="n">
        <v>2019</v>
      </c>
      <c r="F52" s="18" t="n">
        <v>43752</v>
      </c>
      <c r="G52" s="5" t="inlineStr">
        <is>
          <t>бензиновый</t>
        </is>
      </c>
    </row>
    <row r="53">
      <c r="A53" s="5" t="inlineStr">
        <is>
          <t>A52</t>
        </is>
      </c>
      <c r="B53" s="16" t="inlineStr">
        <is>
          <t>Skoda</t>
        </is>
      </c>
      <c r="C53" s="5" t="inlineStr">
        <is>
          <t>Octavia</t>
        </is>
      </c>
      <c r="D53" s="5" t="inlineStr">
        <is>
          <t>К074ЛИ|50</t>
        </is>
      </c>
      <c r="E53" s="5" t="n">
        <v>2018</v>
      </c>
      <c r="F53" s="18" t="n">
        <v>43470</v>
      </c>
      <c r="G53" s="5" t="inlineStr">
        <is>
          <t>бензиновый</t>
        </is>
      </c>
    </row>
    <row r="54">
      <c r="A54" s="5" t="inlineStr">
        <is>
          <t>A53</t>
        </is>
      </c>
      <c r="B54" s="16" t="inlineStr">
        <is>
          <t>Skoda</t>
        </is>
      </c>
      <c r="C54" s="5" t="inlineStr">
        <is>
          <t>Octavia</t>
        </is>
      </c>
      <c r="D54" s="5" t="inlineStr">
        <is>
          <t>К416ТБ|50</t>
        </is>
      </c>
      <c r="E54" s="5" t="n">
        <v>2019</v>
      </c>
      <c r="F54" s="18" t="n">
        <v>43630</v>
      </c>
      <c r="G54" s="5" t="inlineStr">
        <is>
          <t>бензиновый</t>
        </is>
      </c>
    </row>
    <row r="55">
      <c r="A55" s="5" t="inlineStr">
        <is>
          <t>A54</t>
        </is>
      </c>
      <c r="B55" s="16" t="inlineStr">
        <is>
          <t>Skoda</t>
        </is>
      </c>
      <c r="C55" s="5" t="inlineStr">
        <is>
          <t>Octavia</t>
        </is>
      </c>
      <c r="D55" s="5" t="inlineStr">
        <is>
          <t>К329ЮТ|50</t>
        </is>
      </c>
      <c r="E55" s="5" t="n">
        <v>2019</v>
      </c>
      <c r="F55" s="18" t="n">
        <v>43779</v>
      </c>
      <c r="G55" s="5" t="inlineStr">
        <is>
          <t>бензиновый</t>
        </is>
      </c>
    </row>
    <row r="56">
      <c r="A56" s="5" t="inlineStr">
        <is>
          <t>A55</t>
        </is>
      </c>
      <c r="B56" s="16" t="inlineStr">
        <is>
          <t>Skoda</t>
        </is>
      </c>
      <c r="C56" s="5" t="inlineStr">
        <is>
          <t>Octavia</t>
        </is>
      </c>
      <c r="D56" s="5" t="inlineStr">
        <is>
          <t>К756ЭЗ|50</t>
        </is>
      </c>
      <c r="E56" s="5" t="n">
        <v>2019</v>
      </c>
      <c r="F56" s="18" t="n">
        <v>43627</v>
      </c>
      <c r="G56" s="5" t="inlineStr">
        <is>
          <t>бензиновый</t>
        </is>
      </c>
    </row>
    <row r="57">
      <c r="A57" s="5" t="inlineStr">
        <is>
          <t>A56</t>
        </is>
      </c>
      <c r="B57" s="16" t="inlineStr">
        <is>
          <t>Skoda</t>
        </is>
      </c>
      <c r="C57" s="5" t="inlineStr">
        <is>
          <t>Octavia</t>
        </is>
      </c>
      <c r="D57" s="5" t="inlineStr">
        <is>
          <t>К696ХЛ|50</t>
        </is>
      </c>
      <c r="E57" s="5" t="n">
        <v>2019</v>
      </c>
      <c r="F57" s="18" t="n">
        <v>43520</v>
      </c>
      <c r="G57" s="5" t="inlineStr">
        <is>
          <t>бензиновый</t>
        </is>
      </c>
    </row>
    <row r="58">
      <c r="A58" s="5" t="inlineStr">
        <is>
          <t>A57</t>
        </is>
      </c>
      <c r="B58" s="16" t="inlineStr">
        <is>
          <t>Skoda</t>
        </is>
      </c>
      <c r="C58" s="5" t="inlineStr">
        <is>
          <t>Octavia</t>
        </is>
      </c>
      <c r="D58" s="5" t="inlineStr">
        <is>
          <t>К516ВЧ|50</t>
        </is>
      </c>
      <c r="E58" s="5" t="n">
        <v>2019</v>
      </c>
      <c r="F58" s="18" t="n">
        <v>43631</v>
      </c>
      <c r="G58" s="5" t="inlineStr">
        <is>
          <t>бензиновый</t>
        </is>
      </c>
    </row>
    <row r="59">
      <c r="A59" s="5" t="inlineStr">
        <is>
          <t>A58</t>
        </is>
      </c>
      <c r="B59" s="16" t="inlineStr">
        <is>
          <t>Skoda</t>
        </is>
      </c>
      <c r="C59" s="5" t="inlineStr">
        <is>
          <t>Octavia</t>
        </is>
      </c>
      <c r="D59" s="5" t="inlineStr">
        <is>
          <t>К384НЕ|50</t>
        </is>
      </c>
      <c r="E59" s="5" t="n">
        <v>2018</v>
      </c>
      <c r="F59" s="18" t="n">
        <v>43609</v>
      </c>
      <c r="G59" s="5" t="inlineStr">
        <is>
          <t>бензиновый</t>
        </is>
      </c>
    </row>
    <row r="60">
      <c r="A60" s="5" t="inlineStr">
        <is>
          <t>A59</t>
        </is>
      </c>
      <c r="B60" s="16" t="inlineStr">
        <is>
          <t>Skoda</t>
        </is>
      </c>
      <c r="C60" s="5" t="inlineStr">
        <is>
          <t>Octavia</t>
        </is>
      </c>
      <c r="D60" s="5" t="inlineStr">
        <is>
          <t>К754РЯ|50</t>
        </is>
      </c>
      <c r="E60" s="5" t="n">
        <v>2019</v>
      </c>
      <c r="F60" s="18" t="n">
        <v>43678</v>
      </c>
      <c r="G60" s="5" t="inlineStr">
        <is>
          <t>бензиновый</t>
        </is>
      </c>
    </row>
    <row r="61">
      <c r="A61" s="5" t="inlineStr">
        <is>
          <t>A60</t>
        </is>
      </c>
      <c r="B61" s="16" t="inlineStr">
        <is>
          <t>Skoda</t>
        </is>
      </c>
      <c r="C61" s="5" t="inlineStr">
        <is>
          <t>Octavia</t>
        </is>
      </c>
      <c r="D61" s="5" t="inlineStr">
        <is>
          <t>К985ГЮ|50</t>
        </is>
      </c>
      <c r="E61" s="5" t="n">
        <v>2019</v>
      </c>
      <c r="F61" s="18" t="n">
        <v>43809</v>
      </c>
      <c r="G61" s="5" t="inlineStr">
        <is>
          <t>бензиновый</t>
        </is>
      </c>
    </row>
    <row r="62">
      <c r="A62" s="5" t="inlineStr">
        <is>
          <t>A61</t>
        </is>
      </c>
      <c r="B62" s="16" t="inlineStr">
        <is>
          <t>Skoda</t>
        </is>
      </c>
      <c r="C62" s="5" t="inlineStr">
        <is>
          <t>Octavia</t>
        </is>
      </c>
      <c r="D62" s="5" t="inlineStr">
        <is>
          <t>К318ХЮ|50</t>
        </is>
      </c>
      <c r="E62" s="5" t="n">
        <v>2019</v>
      </c>
      <c r="F62" s="18" t="n">
        <v>43689</v>
      </c>
      <c r="G62" s="5" t="inlineStr">
        <is>
          <t>бензиновый</t>
        </is>
      </c>
    </row>
    <row r="63">
      <c r="A63" s="5" t="inlineStr">
        <is>
          <t>A62</t>
        </is>
      </c>
      <c r="B63" s="16" t="inlineStr">
        <is>
          <t>Skoda</t>
        </is>
      </c>
      <c r="C63" s="5" t="inlineStr">
        <is>
          <t>Octavia</t>
        </is>
      </c>
      <c r="D63" s="5" t="inlineStr">
        <is>
          <t>К453УВ|50</t>
        </is>
      </c>
      <c r="E63" s="5" t="n">
        <v>2019</v>
      </c>
      <c r="F63" s="18" t="n">
        <v>43522</v>
      </c>
      <c r="G63" s="5" t="inlineStr">
        <is>
          <t>бензиновый</t>
        </is>
      </c>
    </row>
    <row r="64">
      <c r="A64" s="5" t="inlineStr">
        <is>
          <t>A63</t>
        </is>
      </c>
      <c r="B64" s="5" t="inlineStr">
        <is>
          <t>Audi</t>
        </is>
      </c>
      <c r="C64" s="5" t="inlineStr">
        <is>
          <t>A3</t>
        </is>
      </c>
      <c r="D64" s="5" t="inlineStr">
        <is>
          <t>К841ГМ|50</t>
        </is>
      </c>
      <c r="E64" s="5" t="n">
        <v>2019</v>
      </c>
      <c r="F64" s="18" t="n">
        <v>43787</v>
      </c>
      <c r="G64" s="5" t="inlineStr">
        <is>
          <t>бензиновый</t>
        </is>
      </c>
    </row>
    <row r="65">
      <c r="A65" s="5" t="inlineStr">
        <is>
          <t>A64</t>
        </is>
      </c>
      <c r="B65" s="5" t="inlineStr">
        <is>
          <t>Audi</t>
        </is>
      </c>
      <c r="C65" s="5" t="inlineStr">
        <is>
          <t>A3</t>
        </is>
      </c>
      <c r="D65" s="5" t="inlineStr">
        <is>
          <t>К418ДВ|50</t>
        </is>
      </c>
      <c r="E65" s="5" t="n">
        <v>2019</v>
      </c>
      <c r="F65" s="18" t="n">
        <v>43765</v>
      </c>
      <c r="G65" s="5" t="inlineStr">
        <is>
          <t>бензиновый</t>
        </is>
      </c>
    </row>
    <row r="66">
      <c r="A66" s="5" t="inlineStr">
        <is>
          <t>A65</t>
        </is>
      </c>
      <c r="B66" s="5" t="inlineStr">
        <is>
          <t>Audi</t>
        </is>
      </c>
      <c r="C66" s="5" t="inlineStr">
        <is>
          <t>A3</t>
        </is>
      </c>
      <c r="D66" s="5" t="inlineStr">
        <is>
          <t>К455РВ|50</t>
        </is>
      </c>
      <c r="E66" s="5" t="n">
        <v>2019</v>
      </c>
      <c r="F66" s="18" t="n">
        <v>43640</v>
      </c>
      <c r="G66" s="5" t="inlineStr">
        <is>
          <t>бензиновый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A7" sqref="A7"/>
    </sheetView>
  </sheetViews>
  <sheetFormatPr baseColWidth="8" defaultRowHeight="15"/>
  <cols>
    <col width="17.85546875" customWidth="1" min="1" max="1"/>
    <col width="39.28515625" customWidth="1" min="2" max="2"/>
    <col width="48.85546875" customWidth="1" min="3" max="3"/>
    <col width="15.42578125" customWidth="1" style="5" min="4" max="4"/>
  </cols>
  <sheetData>
    <row r="1" ht="19.5" customHeight="1" thickBot="1">
      <c r="A1" s="1" t="inlineStr">
        <is>
          <t>ID клиента</t>
        </is>
      </c>
      <c r="B1" s="2" t="inlineStr">
        <is>
          <t>ФИО</t>
        </is>
      </c>
      <c r="C1" s="2" t="inlineStr">
        <is>
          <t>Адрес прописки</t>
        </is>
      </c>
      <c r="D1" s="14" t="inlineStr">
        <is>
          <t>Нарушения</t>
        </is>
      </c>
    </row>
    <row r="2" ht="18.75" customHeight="1">
      <c r="A2" s="6" t="n">
        <v>1</v>
      </c>
      <c r="B2" s="4" t="inlineStr">
        <is>
          <t>Лесов А.П.</t>
        </is>
      </c>
      <c r="C2" t="inlineStr">
        <is>
          <t>г.Левобережный, ул Орлова, 4, кв. 7</t>
        </is>
      </c>
      <c r="D2" s="5" t="inlineStr">
        <is>
          <t>нет</t>
        </is>
      </c>
    </row>
    <row r="3" ht="18.75" customHeight="1">
      <c r="A3" s="6" t="n">
        <v>2</v>
      </c>
      <c r="B3" s="4" t="inlineStr">
        <is>
          <t>Зайцев В.С.</t>
        </is>
      </c>
      <c r="C3" t="inlineStr">
        <is>
          <t>г.Левобережный, ул Центральная, 47, кв. 15</t>
        </is>
      </c>
      <c r="D3" s="5" t="inlineStr">
        <is>
          <t>нет</t>
        </is>
      </c>
    </row>
    <row r="4" ht="18.75" customHeight="1">
      <c r="A4" s="6" t="n">
        <v>3</v>
      </c>
      <c r="B4" s="4" t="inlineStr">
        <is>
          <t>Орлов М.К.</t>
        </is>
      </c>
      <c r="C4" t="inlineStr">
        <is>
          <t>г.Левобережный, ул Журавлева, 20, кв. 70</t>
        </is>
      </c>
      <c r="D4" s="5" t="inlineStr">
        <is>
          <t>нет</t>
        </is>
      </c>
    </row>
    <row r="5" ht="18.75" customHeight="1">
      <c r="A5" s="6" t="n">
        <v>4</v>
      </c>
      <c r="B5" s="4" t="inlineStr">
        <is>
          <t>Волков Д.И.</t>
        </is>
      </c>
      <c r="C5" t="inlineStr">
        <is>
          <t>г.Левобережный, ул Хохлова, 12, кв. 22</t>
        </is>
      </c>
      <c r="D5" s="5" t="inlineStr">
        <is>
          <t>нет</t>
        </is>
      </c>
    </row>
    <row r="6" ht="18.75" customHeight="1">
      <c r="A6" s="6" t="n">
        <v>5</v>
      </c>
      <c r="B6" s="4" t="inlineStr">
        <is>
          <t>Охотников Д.М.</t>
        </is>
      </c>
      <c r="C6" t="inlineStr">
        <is>
          <t>г.Левобережный, ул Девизионная, 5, кв. 3</t>
        </is>
      </c>
      <c r="D6" s="5" t="inlineStr">
        <is>
          <t>нет</t>
        </is>
      </c>
    </row>
    <row r="7" ht="18.75" customHeight="1">
      <c r="A7" s="6" t="n">
        <v>6</v>
      </c>
      <c r="B7" s="4" t="inlineStr">
        <is>
          <t>Окраинов Л.Г.</t>
        </is>
      </c>
      <c r="C7" t="inlineStr">
        <is>
          <t>г.Левобережный, ул Строителей, 40, кв. 2</t>
        </is>
      </c>
      <c r="D7" s="5" t="inlineStr">
        <is>
          <t>нет</t>
        </is>
      </c>
    </row>
    <row r="8" ht="18.75" customHeight="1">
      <c r="A8" s="6" t="n">
        <v>7</v>
      </c>
      <c r="B8" s="4" t="inlineStr">
        <is>
          <t>Стеблов П.К.</t>
        </is>
      </c>
      <c r="C8" t="inlineStr">
        <is>
          <t>г.Левобережный, ул Больничная, 33, кв. 4</t>
        </is>
      </c>
      <c r="D8" s="5" t="inlineStr">
        <is>
          <t>нет</t>
        </is>
      </c>
    </row>
    <row r="9" ht="18.75" customHeight="1">
      <c r="A9" s="6" t="n">
        <v>8</v>
      </c>
      <c r="B9" s="4" t="inlineStr">
        <is>
          <t>Гудков Н.Г.</t>
        </is>
      </c>
      <c r="C9" t="inlineStr">
        <is>
          <t>г.Левобережный, ул Фабричная, 17, кв. 24</t>
        </is>
      </c>
      <c r="D9" s="5" t="inlineStr">
        <is>
          <t>нет</t>
        </is>
      </c>
    </row>
    <row r="10" ht="18.75" customHeight="1">
      <c r="A10" s="6" t="n">
        <v>9</v>
      </c>
      <c r="B10" s="4" t="inlineStr">
        <is>
          <t>Хомяков Л.Д.</t>
        </is>
      </c>
      <c r="C10" t="inlineStr">
        <is>
          <t>г.Левобережный, ул Московская, 44, кв. 19</t>
        </is>
      </c>
      <c r="D10" s="5" t="inlineStr">
        <is>
          <t>да</t>
        </is>
      </c>
    </row>
    <row r="11" ht="18.75" customHeight="1">
      <c r="A11" s="6" t="n">
        <v>10</v>
      </c>
      <c r="B11" s="4" t="inlineStr">
        <is>
          <t>Салаватов Ф.Я.</t>
        </is>
      </c>
      <c r="C11" t="inlineStr">
        <is>
          <t>г.Левобережный, ул Сибирская, 6, кв. 7</t>
        </is>
      </c>
      <c r="D11" s="5" t="inlineStr">
        <is>
          <t>нет</t>
        </is>
      </c>
    </row>
    <row r="12" ht="18.75" customHeight="1">
      <c r="A12" s="6" t="n">
        <v>11</v>
      </c>
      <c r="B12" s="4" t="inlineStr">
        <is>
          <t>Сушкин Л.Н.</t>
        </is>
      </c>
      <c r="C12" t="inlineStr">
        <is>
          <t>г.Левобережный, ул Электротехническая, 8, кв. 27</t>
        </is>
      </c>
      <c r="D12" s="5" t="inlineStr">
        <is>
          <t>нет</t>
        </is>
      </c>
    </row>
    <row r="13" ht="18.75" customHeight="1">
      <c r="A13" s="6" t="n">
        <v>12</v>
      </c>
      <c r="B13" s="4" t="inlineStr">
        <is>
          <t>Говоров Б.Т.</t>
        </is>
      </c>
      <c r="C13" t="inlineStr">
        <is>
          <t>г.Левобережный, ул Солнечная, 6, кв. 30</t>
        </is>
      </c>
      <c r="D13" s="5" t="inlineStr">
        <is>
          <t>нет</t>
        </is>
      </c>
    </row>
    <row r="14" ht="18.75" customHeight="1">
      <c r="A14" s="6" t="n">
        <v>13</v>
      </c>
      <c r="B14" s="4" t="inlineStr">
        <is>
          <t>Сачков Х.Э.</t>
        </is>
      </c>
      <c r="C14" t="inlineStr">
        <is>
          <t>г.Левобережный, ул Слободка, 7, кв. 81</t>
        </is>
      </c>
      <c r="D14" s="5" t="inlineStr">
        <is>
          <t>нет</t>
        </is>
      </c>
    </row>
    <row r="15" ht="18.75" customHeight="1">
      <c r="A15" s="6" t="n">
        <v>14</v>
      </c>
      <c r="B15" s="4" t="inlineStr">
        <is>
          <t>Вознесенский К.Л.</t>
        </is>
      </c>
      <c r="C15" t="inlineStr">
        <is>
          <t>г.Левобережный, ул Свободы, 19, кв. 8</t>
        </is>
      </c>
      <c r="D15" s="5" t="inlineStr">
        <is>
          <t>нет</t>
        </is>
      </c>
    </row>
    <row r="16" ht="18.75" customHeight="1">
      <c r="A16" s="6" t="n">
        <v>15</v>
      </c>
      <c r="B16" s="4" t="inlineStr">
        <is>
          <t>Громов Л.И.</t>
        </is>
      </c>
      <c r="C16" t="inlineStr">
        <is>
          <t>г.Левобережный, ул Народного ополчения, 28, кв. 6</t>
        </is>
      </c>
      <c r="D16" s="5" t="inlineStr">
        <is>
          <t>да</t>
        </is>
      </c>
    </row>
    <row r="17" ht="18.75" customHeight="1">
      <c r="B1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</dc:creator>
  <dcterms:created xmlns:dcterms="http://purl.org/dc/terms/" xmlns:xsi="http://www.w3.org/2001/XMLSchema-instance" xsi:type="dcterms:W3CDTF">2021-09-21T14:07:03Z</dcterms:created>
  <dcterms:modified xmlns:dcterms="http://purl.org/dc/terms/" xmlns:xsi="http://www.w3.org/2001/XMLSchema-instance" xsi:type="dcterms:W3CDTF">2026-10-19T10:17:01Z</dcterms:modified>
  <cp:lastModifiedBy>Alexey Kabanov</cp:lastModifiedBy>
</cp:coreProperties>
</file>